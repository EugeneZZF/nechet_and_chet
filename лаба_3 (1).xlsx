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0200315\Downloads\Файлы\"/>
    </mc:Choice>
  </mc:AlternateContent>
  <xr:revisionPtr revIDLastSave="0" documentId="13_ncr:1_{FCBE1F9E-C5AF-41A4-B251-A8A22B1A08D6}" xr6:coauthVersionLast="36" xr6:coauthVersionMax="36" xr10:uidLastSave="{00000000-0000-0000-0000-000000000000}"/>
  <bookViews>
    <workbookView xWindow="-120" yWindow="-120" windowWidth="23250" windowHeight="13170" activeTab="3" xr2:uid="{00000000-000D-0000-FFFF-FFFF00000000}"/>
  </bookViews>
  <sheets>
    <sheet name="Возраст" sheetId="1" r:id="rId1"/>
    <sheet name="Кредитная история" sheetId="2" r:id="rId2"/>
    <sheet name="Уровень жизни" sheetId="3" r:id="rId3"/>
    <sheet name="Вероятноть кредита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1" l="1"/>
  <c r="D24" i="1" s="1"/>
  <c r="E23" i="1"/>
  <c r="E24" i="1" s="1"/>
  <c r="F23" i="1"/>
  <c r="F24" i="1" s="1"/>
  <c r="G23" i="1"/>
  <c r="G24" i="1" s="1"/>
  <c r="H23" i="1"/>
  <c r="I23" i="1"/>
  <c r="J23" i="1"/>
  <c r="K23" i="1"/>
  <c r="L23" i="1"/>
  <c r="M23" i="1"/>
  <c r="N23" i="1"/>
  <c r="C23" i="1"/>
  <c r="C24" i="1" s="1"/>
  <c r="D23" i="2"/>
  <c r="D24" i="2" s="1"/>
  <c r="E23" i="2"/>
  <c r="E24" i="2" s="1"/>
  <c r="F23" i="2"/>
  <c r="F24" i="2" s="1"/>
  <c r="G23" i="2"/>
  <c r="G24" i="2" s="1"/>
  <c r="H23" i="2"/>
  <c r="I23" i="2"/>
  <c r="J23" i="2"/>
  <c r="K23" i="2"/>
  <c r="L23" i="2"/>
  <c r="M23" i="2"/>
  <c r="N23" i="2"/>
  <c r="C23" i="2"/>
  <c r="C24" i="2" s="1"/>
  <c r="D24" i="3"/>
  <c r="H24" i="3"/>
  <c r="D23" i="3"/>
  <c r="E23" i="3"/>
  <c r="E24" i="3" s="1"/>
  <c r="F23" i="3"/>
  <c r="F24" i="3" s="1"/>
  <c r="G23" i="3"/>
  <c r="G24" i="3" s="1"/>
  <c r="H23" i="3"/>
  <c r="I23" i="3"/>
  <c r="J23" i="3"/>
  <c r="K23" i="3"/>
  <c r="L23" i="3"/>
  <c r="M23" i="3"/>
  <c r="N23" i="3"/>
  <c r="C23" i="3"/>
  <c r="C24" i="3" s="1"/>
  <c r="C23" i="4"/>
  <c r="D22" i="1"/>
  <c r="E22" i="1"/>
  <c r="F22" i="1"/>
  <c r="H22" i="1"/>
  <c r="I22" i="1"/>
  <c r="J22" i="1"/>
  <c r="L22" i="1"/>
  <c r="M22" i="1"/>
  <c r="N22" i="1"/>
  <c r="D21" i="1"/>
  <c r="E21" i="1"/>
  <c r="F21" i="1"/>
  <c r="G21" i="1"/>
  <c r="G22" i="1" s="1"/>
  <c r="H21" i="1"/>
  <c r="I21" i="1"/>
  <c r="J21" i="1"/>
  <c r="K21" i="1"/>
  <c r="K22" i="1" s="1"/>
  <c r="L21" i="1"/>
  <c r="M21" i="1"/>
  <c r="N21" i="1"/>
  <c r="C21" i="1"/>
  <c r="L22" i="2"/>
  <c r="M22" i="2"/>
  <c r="D21" i="2"/>
  <c r="D22" i="2" s="1"/>
  <c r="E21" i="2"/>
  <c r="F21" i="2"/>
  <c r="G21" i="2"/>
  <c r="H21" i="2"/>
  <c r="I21" i="2"/>
  <c r="J21" i="2"/>
  <c r="K21" i="2"/>
  <c r="L21" i="2"/>
  <c r="M21" i="2"/>
  <c r="N21" i="2"/>
  <c r="N22" i="2" s="1"/>
  <c r="C21" i="2"/>
  <c r="C22" i="2" s="1"/>
  <c r="F20" i="3"/>
  <c r="J20" i="3"/>
  <c r="N20" i="3"/>
  <c r="D21" i="3"/>
  <c r="D22" i="3" s="1"/>
  <c r="E21" i="3"/>
  <c r="E22" i="3" s="1"/>
  <c r="F21" i="3"/>
  <c r="F22" i="3" s="1"/>
  <c r="G21" i="3"/>
  <c r="G22" i="3" s="1"/>
  <c r="H21" i="3"/>
  <c r="H22" i="3" s="1"/>
  <c r="I21" i="3"/>
  <c r="I22" i="3" s="1"/>
  <c r="J21" i="3"/>
  <c r="J22" i="3" s="1"/>
  <c r="K21" i="3"/>
  <c r="K22" i="3" s="1"/>
  <c r="L21" i="3"/>
  <c r="L22" i="3" s="1"/>
  <c r="M21" i="3"/>
  <c r="M22" i="3" s="1"/>
  <c r="N21" i="3"/>
  <c r="N22" i="3" s="1"/>
  <c r="C21" i="3"/>
  <c r="C22" i="3" s="1"/>
  <c r="C24" i="4"/>
  <c r="D24" i="4"/>
  <c r="H24" i="4"/>
  <c r="C22" i="4"/>
  <c r="D22" i="4"/>
  <c r="E22" i="4"/>
  <c r="C21" i="4"/>
  <c r="D19" i="2"/>
  <c r="E19" i="2"/>
  <c r="F19" i="2"/>
  <c r="G19" i="2"/>
  <c r="H19" i="2"/>
  <c r="I19" i="2"/>
  <c r="J19" i="2"/>
  <c r="K19" i="2"/>
  <c r="L19" i="2"/>
  <c r="M19" i="2"/>
  <c r="N19" i="2"/>
  <c r="C19" i="2"/>
  <c r="D19" i="1"/>
  <c r="E19" i="1"/>
  <c r="F19" i="1"/>
  <c r="G19" i="1"/>
  <c r="H19" i="1"/>
  <c r="I19" i="1"/>
  <c r="J19" i="1"/>
  <c r="K19" i="1"/>
  <c r="L19" i="1"/>
  <c r="M19" i="1"/>
  <c r="N19" i="1"/>
  <c r="C19" i="1"/>
  <c r="C19" i="4"/>
  <c r="D19" i="3"/>
  <c r="D20" i="3" s="1"/>
  <c r="E19" i="3"/>
  <c r="E20" i="3" s="1"/>
  <c r="F19" i="3"/>
  <c r="G19" i="3"/>
  <c r="G20" i="3" s="1"/>
  <c r="H19" i="3"/>
  <c r="H20" i="3" s="1"/>
  <c r="I19" i="3"/>
  <c r="I20" i="3" s="1"/>
  <c r="J19" i="3"/>
  <c r="K19" i="3"/>
  <c r="K20" i="3" s="1"/>
  <c r="L19" i="3"/>
  <c r="L20" i="3" s="1"/>
  <c r="M19" i="3"/>
  <c r="M20" i="3" s="1"/>
  <c r="N19" i="3"/>
  <c r="C19" i="3"/>
  <c r="D19" i="4"/>
  <c r="E19" i="4"/>
  <c r="E20" i="4" s="1"/>
  <c r="F19" i="4"/>
  <c r="F20" i="4" s="1"/>
  <c r="G19" i="4"/>
  <c r="H19" i="4"/>
  <c r="H20" i="4" s="1"/>
  <c r="I19" i="4"/>
  <c r="I20" i="4" s="1"/>
  <c r="J19" i="4"/>
  <c r="J20" i="4" s="1"/>
  <c r="K19" i="4"/>
  <c r="K20" i="4" s="1"/>
  <c r="L19" i="4"/>
  <c r="L20" i="4" s="1"/>
  <c r="M19" i="4"/>
  <c r="M20" i="4" s="1"/>
  <c r="N19" i="4"/>
  <c r="N20" i="4" s="1"/>
  <c r="D21" i="4"/>
  <c r="E21" i="4"/>
  <c r="F21" i="4"/>
  <c r="F22" i="4" s="1"/>
  <c r="G21" i="4"/>
  <c r="H21" i="4"/>
  <c r="H22" i="4" s="1"/>
  <c r="I21" i="4"/>
  <c r="I22" i="4" s="1"/>
  <c r="J21" i="4"/>
  <c r="J22" i="4" s="1"/>
  <c r="K21" i="4"/>
  <c r="K22" i="4" s="1"/>
  <c r="L21" i="4"/>
  <c r="L22" i="4" s="1"/>
  <c r="M21" i="4"/>
  <c r="M22" i="4" s="1"/>
  <c r="N21" i="4"/>
  <c r="N22" i="4" s="1"/>
  <c r="D23" i="4"/>
  <c r="E23" i="4"/>
  <c r="E24" i="4" s="1"/>
  <c r="F23" i="4"/>
  <c r="F24" i="4" s="1"/>
  <c r="G23" i="4"/>
  <c r="G24" i="4" s="1"/>
  <c r="H23" i="4"/>
  <c r="I23" i="4"/>
  <c r="I24" i="4" s="1"/>
  <c r="J23" i="4"/>
  <c r="J24" i="4" s="1"/>
  <c r="K23" i="4"/>
  <c r="K24" i="4" s="1"/>
  <c r="L23" i="4"/>
  <c r="L24" i="4" s="1"/>
  <c r="M23" i="4"/>
  <c r="M24" i="4" s="1"/>
  <c r="N23" i="4"/>
  <c r="N24" i="4" s="1"/>
  <c r="C20" i="4"/>
  <c r="G22" i="4"/>
  <c r="G20" i="4"/>
  <c r="D20" i="4"/>
  <c r="J24" i="3" l="1"/>
  <c r="K24" i="3"/>
  <c r="L24" i="3"/>
  <c r="M24" i="3"/>
  <c r="N24" i="3"/>
  <c r="I24" i="3"/>
  <c r="C20" i="3"/>
  <c r="I24" i="2"/>
  <c r="J24" i="2"/>
  <c r="K24" i="2"/>
  <c r="L24" i="2"/>
  <c r="M24" i="2"/>
  <c r="N24" i="2"/>
  <c r="H24" i="2"/>
  <c r="F22" i="2"/>
  <c r="G22" i="2"/>
  <c r="H22" i="2"/>
  <c r="I22" i="2"/>
  <c r="J22" i="2"/>
  <c r="K22" i="2"/>
  <c r="E22" i="2"/>
  <c r="D20" i="2"/>
  <c r="E20" i="2"/>
  <c r="F20" i="2"/>
  <c r="G20" i="2"/>
  <c r="C20" i="2"/>
  <c r="I24" i="1"/>
  <c r="J24" i="1"/>
  <c r="K24" i="1"/>
  <c r="L24" i="1"/>
  <c r="M24" i="1"/>
  <c r="N24" i="1"/>
  <c r="H24" i="1"/>
  <c r="C22" i="1"/>
  <c r="D20" i="1"/>
  <c r="E20" i="1"/>
  <c r="F20" i="1"/>
  <c r="G20" i="1"/>
  <c r="H20" i="1"/>
  <c r="I20" i="1"/>
  <c r="J20" i="1"/>
  <c r="K20" i="1"/>
  <c r="L20" i="1"/>
  <c r="N20" i="1"/>
  <c r="C20" i="1"/>
</calcChain>
</file>

<file path=xl/sharedStrings.xml><?xml version="1.0" encoding="utf-8"?>
<sst xmlns="http://schemas.openxmlformats.org/spreadsheetml/2006/main" count="204" uniqueCount="69">
  <si>
    <t>k</t>
  </si>
  <si>
    <t>Термы</t>
  </si>
  <si>
    <t>Молодой</t>
  </si>
  <si>
    <t>Средний</t>
  </si>
  <si>
    <t>Пожилой</t>
  </si>
  <si>
    <t>18-23</t>
  </si>
  <si>
    <t>24-29</t>
  </si>
  <si>
    <t>30-35</t>
  </si>
  <si>
    <t>36-41</t>
  </si>
  <si>
    <t>42-47</t>
  </si>
  <si>
    <t>48-53</t>
  </si>
  <si>
    <t>54-59</t>
  </si>
  <si>
    <t>60-65</t>
  </si>
  <si>
    <t>66-71</t>
  </si>
  <si>
    <t>72-77</t>
  </si>
  <si>
    <t>78-83</t>
  </si>
  <si>
    <t>84-89</t>
  </si>
  <si>
    <t>Высокий</t>
  </si>
  <si>
    <t>k1</t>
  </si>
  <si>
    <t>k2</t>
  </si>
  <si>
    <t>k3</t>
  </si>
  <si>
    <t>k4</t>
  </si>
  <si>
    <t>k5</t>
  </si>
  <si>
    <t>Высокая</t>
  </si>
  <si>
    <t>Плохая</t>
  </si>
  <si>
    <t>Средняя</t>
  </si>
  <si>
    <t>1-84</t>
  </si>
  <si>
    <t>85-168</t>
  </si>
  <si>
    <t>169-252</t>
  </si>
  <si>
    <t>253-336</t>
  </si>
  <si>
    <t>337-420</t>
  </si>
  <si>
    <t>421-504</t>
  </si>
  <si>
    <t>505-588</t>
  </si>
  <si>
    <t>589-672</t>
  </si>
  <si>
    <t>673-756</t>
  </si>
  <si>
    <t>757-840</t>
  </si>
  <si>
    <t>841-924</t>
  </si>
  <si>
    <t>925-999</t>
  </si>
  <si>
    <t>91-100</t>
  </si>
  <si>
    <t>83-90</t>
  </si>
  <si>
    <t>75-82</t>
  </si>
  <si>
    <t>66-74</t>
  </si>
  <si>
    <t>58-65</t>
  </si>
  <si>
    <t>50-57</t>
  </si>
  <si>
    <t>41-49</t>
  </si>
  <si>
    <t>33-40</t>
  </si>
  <si>
    <t>25-32</t>
  </si>
  <si>
    <t>16-24</t>
  </si>
  <si>
    <t>8-15</t>
  </si>
  <si>
    <t>0-7</t>
  </si>
  <si>
    <t>молодой</t>
  </si>
  <si>
    <t xml:space="preserve">средний </t>
  </si>
  <si>
    <t>пожилой</t>
  </si>
  <si>
    <t>плохая</t>
  </si>
  <si>
    <t>средняя</t>
  </si>
  <si>
    <t>высокая</t>
  </si>
  <si>
    <t>средний</t>
  </si>
  <si>
    <t>высокий</t>
  </si>
  <si>
    <t>Низкий</t>
  </si>
  <si>
    <t>(в баллах)</t>
  </si>
  <si>
    <t>(в годах)</t>
  </si>
  <si>
    <t>(в процентах)</t>
  </si>
  <si>
    <t>низкий</t>
  </si>
  <si>
    <t>Низкая</t>
  </si>
  <si>
    <t>низкая</t>
  </si>
  <si>
    <t>хорошая</t>
  </si>
  <si>
    <t>Хорошая</t>
  </si>
  <si>
    <t>нормальная</t>
  </si>
  <si>
    <t>Нормальная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</si>
</sst>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49" fontId="0" fillId="2" borderId="1" xfId="0" applyNumberFormat="1" applyFill="1" applyBorder="1"/>
    <xf numFmtId="0" fontId="0" fillId="0" borderId="2" xfId="0" applyFill="1" applyBorder="1"/>
    <xf numFmtId="0" fontId="0" fillId="0" borderId="0" xfId="0" applyFill="1"/>
    <xf numFmtId="0" fontId="0" fillId="2" borderId="2" xfId="0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молодой</c:v>
          </c:tx>
          <c:cat>
            <c:strRef>
              <c:f>Возраст!$C$18:$N$18</c:f>
              <c:strCache>
                <c:ptCount val="12"/>
                <c:pt idx="0">
                  <c:v>18-23</c:v>
                </c:pt>
                <c:pt idx="1">
                  <c:v>24-29</c:v>
                </c:pt>
                <c:pt idx="2">
                  <c:v>30-35</c:v>
                </c:pt>
                <c:pt idx="3">
                  <c:v>36-41</c:v>
                </c:pt>
                <c:pt idx="4">
                  <c:v>42-47</c:v>
                </c:pt>
                <c:pt idx="5">
                  <c:v>48-53</c:v>
                </c:pt>
                <c:pt idx="6">
                  <c:v>54-59</c:v>
                </c:pt>
                <c:pt idx="7">
                  <c:v>60-65</c:v>
                </c:pt>
                <c:pt idx="8">
                  <c:v>66-71</c:v>
                </c:pt>
                <c:pt idx="9">
                  <c:v>72-77</c:v>
                </c:pt>
                <c:pt idx="10">
                  <c:v>78-83</c:v>
                </c:pt>
                <c:pt idx="11">
                  <c:v>84-89</c:v>
                </c:pt>
              </c:strCache>
            </c:strRef>
          </c:cat>
          <c:val>
            <c:numRef>
              <c:f>Возраст!$C$20:$N$20</c:f>
              <c:numCache>
                <c:formatCode>General</c:formatCode>
                <c:ptCount val="12"/>
                <c:pt idx="0">
                  <c:v>1</c:v>
                </c:pt>
                <c:pt idx="1">
                  <c:v>0.8</c:v>
                </c:pt>
                <c:pt idx="2">
                  <c:v>0.4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5-4C54-AEA5-F4529A185849}"/>
            </c:ext>
          </c:extLst>
        </c:ser>
        <c:ser>
          <c:idx val="1"/>
          <c:order val="1"/>
          <c:tx>
            <c:v>взрослый</c:v>
          </c:tx>
          <c:cat>
            <c:strRef>
              <c:f>Возраст!$C$18:$N$18</c:f>
              <c:strCache>
                <c:ptCount val="12"/>
                <c:pt idx="0">
                  <c:v>18-23</c:v>
                </c:pt>
                <c:pt idx="1">
                  <c:v>24-29</c:v>
                </c:pt>
                <c:pt idx="2">
                  <c:v>30-35</c:v>
                </c:pt>
                <c:pt idx="3">
                  <c:v>36-41</c:v>
                </c:pt>
                <c:pt idx="4">
                  <c:v>42-47</c:v>
                </c:pt>
                <c:pt idx="5">
                  <c:v>48-53</c:v>
                </c:pt>
                <c:pt idx="6">
                  <c:v>54-59</c:v>
                </c:pt>
                <c:pt idx="7">
                  <c:v>60-65</c:v>
                </c:pt>
                <c:pt idx="8">
                  <c:v>66-71</c:v>
                </c:pt>
                <c:pt idx="9">
                  <c:v>72-77</c:v>
                </c:pt>
                <c:pt idx="10">
                  <c:v>78-83</c:v>
                </c:pt>
                <c:pt idx="11">
                  <c:v>84-89</c:v>
                </c:pt>
              </c:strCache>
            </c:strRef>
          </c:cat>
          <c:val>
            <c:numRef>
              <c:f>Возраст!$C$22:$N$22</c:f>
              <c:numCache>
                <c:formatCode>General</c:formatCode>
                <c:ptCount val="12"/>
                <c:pt idx="0">
                  <c:v>0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0.8</c:v>
                </c:pt>
                <c:pt idx="6">
                  <c:v>0.6</c:v>
                </c:pt>
                <c:pt idx="7">
                  <c:v>0.2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05-4C54-AEA5-F4529A185849}"/>
            </c:ext>
          </c:extLst>
        </c:ser>
        <c:ser>
          <c:idx val="2"/>
          <c:order val="2"/>
          <c:tx>
            <c:v>пожилой</c:v>
          </c:tx>
          <c:cat>
            <c:strRef>
              <c:f>Возраст!$C$18:$N$18</c:f>
              <c:strCache>
                <c:ptCount val="12"/>
                <c:pt idx="0">
                  <c:v>18-23</c:v>
                </c:pt>
                <c:pt idx="1">
                  <c:v>24-29</c:v>
                </c:pt>
                <c:pt idx="2">
                  <c:v>30-35</c:v>
                </c:pt>
                <c:pt idx="3">
                  <c:v>36-41</c:v>
                </c:pt>
                <c:pt idx="4">
                  <c:v>42-47</c:v>
                </c:pt>
                <c:pt idx="5">
                  <c:v>48-53</c:v>
                </c:pt>
                <c:pt idx="6">
                  <c:v>54-59</c:v>
                </c:pt>
                <c:pt idx="7">
                  <c:v>60-65</c:v>
                </c:pt>
                <c:pt idx="8">
                  <c:v>66-71</c:v>
                </c:pt>
                <c:pt idx="9">
                  <c:v>72-77</c:v>
                </c:pt>
                <c:pt idx="10">
                  <c:v>78-83</c:v>
                </c:pt>
                <c:pt idx="11">
                  <c:v>84-89</c:v>
                </c:pt>
              </c:strCache>
            </c:strRef>
          </c:cat>
          <c:val>
            <c:numRef>
              <c:f>Возраст!$C$24:$N$24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</c:v>
                </c:pt>
                <c:pt idx="6">
                  <c:v>0.6</c:v>
                </c:pt>
                <c:pt idx="7">
                  <c:v>0.8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05-4C54-AEA5-F4529A185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60864"/>
        <c:axId val="92662400"/>
      </c:lineChart>
      <c:catAx>
        <c:axId val="92660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2662400"/>
        <c:crosses val="autoZero"/>
        <c:auto val="1"/>
        <c:lblAlgn val="ctr"/>
        <c:lblOffset val="100"/>
        <c:noMultiLvlLbl val="0"/>
      </c:catAx>
      <c:valAx>
        <c:axId val="92662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2660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плохая</c:v>
          </c:tx>
          <c:cat>
            <c:strRef>
              <c:f>'Кредитная история'!$C$18:$N$18</c:f>
              <c:strCache>
                <c:ptCount val="12"/>
                <c:pt idx="0">
                  <c:v>1-84</c:v>
                </c:pt>
                <c:pt idx="1">
                  <c:v>85-168</c:v>
                </c:pt>
                <c:pt idx="2">
                  <c:v>169-252</c:v>
                </c:pt>
                <c:pt idx="3">
                  <c:v>253-336</c:v>
                </c:pt>
                <c:pt idx="4">
                  <c:v>337-420</c:v>
                </c:pt>
                <c:pt idx="5">
                  <c:v>421-504</c:v>
                </c:pt>
                <c:pt idx="6">
                  <c:v>505-588</c:v>
                </c:pt>
                <c:pt idx="7">
                  <c:v>589-672</c:v>
                </c:pt>
                <c:pt idx="8">
                  <c:v>673-756</c:v>
                </c:pt>
                <c:pt idx="9">
                  <c:v>757-840</c:v>
                </c:pt>
                <c:pt idx="10">
                  <c:v>841-924</c:v>
                </c:pt>
                <c:pt idx="11">
                  <c:v>925-999</c:v>
                </c:pt>
              </c:strCache>
            </c:strRef>
          </c:cat>
          <c:val>
            <c:numRef>
              <c:f>'Кредитная история'!$C$20:$N$20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BC-45E7-833E-322A1AE0313D}"/>
            </c:ext>
          </c:extLst>
        </c:ser>
        <c:ser>
          <c:idx val="1"/>
          <c:order val="1"/>
          <c:tx>
            <c:v>нормальная</c:v>
          </c:tx>
          <c:cat>
            <c:strRef>
              <c:f>'Кредитная история'!$C$18:$N$18</c:f>
              <c:strCache>
                <c:ptCount val="12"/>
                <c:pt idx="0">
                  <c:v>1-84</c:v>
                </c:pt>
                <c:pt idx="1">
                  <c:v>85-168</c:v>
                </c:pt>
                <c:pt idx="2">
                  <c:v>169-252</c:v>
                </c:pt>
                <c:pt idx="3">
                  <c:v>253-336</c:v>
                </c:pt>
                <c:pt idx="4">
                  <c:v>337-420</c:v>
                </c:pt>
                <c:pt idx="5">
                  <c:v>421-504</c:v>
                </c:pt>
                <c:pt idx="6">
                  <c:v>505-588</c:v>
                </c:pt>
                <c:pt idx="7">
                  <c:v>589-672</c:v>
                </c:pt>
                <c:pt idx="8">
                  <c:v>673-756</c:v>
                </c:pt>
                <c:pt idx="9">
                  <c:v>757-840</c:v>
                </c:pt>
                <c:pt idx="10">
                  <c:v>841-924</c:v>
                </c:pt>
                <c:pt idx="11">
                  <c:v>925-999</c:v>
                </c:pt>
              </c:strCache>
            </c:strRef>
          </c:cat>
          <c:val>
            <c:numRef>
              <c:f>'Кредитная история'!$C$22:$N$22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0.8</c:v>
                </c:pt>
                <c:pt idx="4">
                  <c:v>0.8</c:v>
                </c:pt>
                <c:pt idx="5">
                  <c:v>1</c:v>
                </c:pt>
                <c:pt idx="6">
                  <c:v>1</c:v>
                </c:pt>
                <c:pt idx="7">
                  <c:v>0.8</c:v>
                </c:pt>
                <c:pt idx="8">
                  <c:v>0.4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BC-45E7-833E-322A1AE0313D}"/>
            </c:ext>
          </c:extLst>
        </c:ser>
        <c:ser>
          <c:idx val="2"/>
          <c:order val="2"/>
          <c:tx>
            <c:v>хорошая</c:v>
          </c:tx>
          <c:cat>
            <c:strRef>
              <c:f>'Кредитная история'!$C$18:$N$18</c:f>
              <c:strCache>
                <c:ptCount val="12"/>
                <c:pt idx="0">
                  <c:v>1-84</c:v>
                </c:pt>
                <c:pt idx="1">
                  <c:v>85-168</c:v>
                </c:pt>
                <c:pt idx="2">
                  <c:v>169-252</c:v>
                </c:pt>
                <c:pt idx="3">
                  <c:v>253-336</c:v>
                </c:pt>
                <c:pt idx="4">
                  <c:v>337-420</c:v>
                </c:pt>
                <c:pt idx="5">
                  <c:v>421-504</c:v>
                </c:pt>
                <c:pt idx="6">
                  <c:v>505-588</c:v>
                </c:pt>
                <c:pt idx="7">
                  <c:v>589-672</c:v>
                </c:pt>
                <c:pt idx="8">
                  <c:v>673-756</c:v>
                </c:pt>
                <c:pt idx="9">
                  <c:v>757-840</c:v>
                </c:pt>
                <c:pt idx="10">
                  <c:v>841-924</c:v>
                </c:pt>
                <c:pt idx="11">
                  <c:v>925-999</c:v>
                </c:pt>
              </c:strCache>
            </c:strRef>
          </c:cat>
          <c:val>
            <c:numRef>
              <c:f>'Кредитная история'!$C$24:$N$24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0.8</c:v>
                </c:pt>
                <c:pt idx="8">
                  <c:v>0.8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BC-45E7-833E-322A1AE03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17344"/>
        <c:axId val="92271744"/>
      </c:lineChart>
      <c:catAx>
        <c:axId val="92217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2271744"/>
        <c:crosses val="autoZero"/>
        <c:auto val="1"/>
        <c:lblAlgn val="ctr"/>
        <c:lblOffset val="100"/>
        <c:noMultiLvlLbl val="0"/>
      </c:catAx>
      <c:valAx>
        <c:axId val="92271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2217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'Уровень жизни'!$B$19:$B$20</c:f>
              <c:strCache>
                <c:ptCount val="1"/>
                <c:pt idx="0">
                  <c:v>низкий</c:v>
                </c:pt>
              </c:strCache>
            </c:strRef>
          </c:tx>
          <c:cat>
            <c:strRef>
              <c:f>'Уровень жизни'!$C$18:$N$18</c:f>
              <c:strCache>
                <c:ptCount val="12"/>
                <c:pt idx="0">
                  <c:v>0-7</c:v>
                </c:pt>
                <c:pt idx="1">
                  <c:v>8-15</c:v>
                </c:pt>
                <c:pt idx="2">
                  <c:v>16-24</c:v>
                </c:pt>
                <c:pt idx="3">
                  <c:v>25-32</c:v>
                </c:pt>
                <c:pt idx="4">
                  <c:v>33-40</c:v>
                </c:pt>
                <c:pt idx="5">
                  <c:v>41-49</c:v>
                </c:pt>
                <c:pt idx="6">
                  <c:v>50-57</c:v>
                </c:pt>
                <c:pt idx="7">
                  <c:v>58-65</c:v>
                </c:pt>
                <c:pt idx="8">
                  <c:v>66-74</c:v>
                </c:pt>
                <c:pt idx="9">
                  <c:v>75-82</c:v>
                </c:pt>
                <c:pt idx="10">
                  <c:v>83-90</c:v>
                </c:pt>
                <c:pt idx="11">
                  <c:v>91-100</c:v>
                </c:pt>
              </c:strCache>
            </c:strRef>
          </c:cat>
          <c:val>
            <c:numRef>
              <c:f>'Уровень жизни'!$C$20:$N$20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31-4E0B-9BAA-427AA7F7F10C}"/>
            </c:ext>
          </c:extLst>
        </c:ser>
        <c:ser>
          <c:idx val="1"/>
          <c:order val="1"/>
          <c:tx>
            <c:v>средний</c:v>
          </c:tx>
          <c:cat>
            <c:strRef>
              <c:f>'Уровень жизни'!$C$18:$N$18</c:f>
              <c:strCache>
                <c:ptCount val="12"/>
                <c:pt idx="0">
                  <c:v>0-7</c:v>
                </c:pt>
                <c:pt idx="1">
                  <c:v>8-15</c:v>
                </c:pt>
                <c:pt idx="2">
                  <c:v>16-24</c:v>
                </c:pt>
                <c:pt idx="3">
                  <c:v>25-32</c:v>
                </c:pt>
                <c:pt idx="4">
                  <c:v>33-40</c:v>
                </c:pt>
                <c:pt idx="5">
                  <c:v>41-49</c:v>
                </c:pt>
                <c:pt idx="6">
                  <c:v>50-57</c:v>
                </c:pt>
                <c:pt idx="7">
                  <c:v>58-65</c:v>
                </c:pt>
                <c:pt idx="8">
                  <c:v>66-74</c:v>
                </c:pt>
                <c:pt idx="9">
                  <c:v>75-82</c:v>
                </c:pt>
                <c:pt idx="10">
                  <c:v>83-90</c:v>
                </c:pt>
                <c:pt idx="11">
                  <c:v>91-100</c:v>
                </c:pt>
              </c:strCache>
            </c:strRef>
          </c:cat>
          <c:val>
            <c:numRef>
              <c:f>'Уровень жизни'!$C$22:$N$22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</c:v>
                </c:pt>
                <c:pt idx="4">
                  <c:v>0.8</c:v>
                </c:pt>
                <c:pt idx="5">
                  <c:v>1</c:v>
                </c:pt>
                <c:pt idx="6">
                  <c:v>1</c:v>
                </c:pt>
                <c:pt idx="7">
                  <c:v>0.8</c:v>
                </c:pt>
                <c:pt idx="8">
                  <c:v>0.6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31-4E0B-9BAA-427AA7F7F10C}"/>
            </c:ext>
          </c:extLst>
        </c:ser>
        <c:ser>
          <c:idx val="2"/>
          <c:order val="2"/>
          <c:tx>
            <c:v>высокий</c:v>
          </c:tx>
          <c:cat>
            <c:strRef>
              <c:f>'Уровень жизни'!$C$18:$N$18</c:f>
              <c:strCache>
                <c:ptCount val="12"/>
                <c:pt idx="0">
                  <c:v>0-7</c:v>
                </c:pt>
                <c:pt idx="1">
                  <c:v>8-15</c:v>
                </c:pt>
                <c:pt idx="2">
                  <c:v>16-24</c:v>
                </c:pt>
                <c:pt idx="3">
                  <c:v>25-32</c:v>
                </c:pt>
                <c:pt idx="4">
                  <c:v>33-40</c:v>
                </c:pt>
                <c:pt idx="5">
                  <c:v>41-49</c:v>
                </c:pt>
                <c:pt idx="6">
                  <c:v>50-57</c:v>
                </c:pt>
                <c:pt idx="7">
                  <c:v>58-65</c:v>
                </c:pt>
                <c:pt idx="8">
                  <c:v>66-74</c:v>
                </c:pt>
                <c:pt idx="9">
                  <c:v>75-82</c:v>
                </c:pt>
                <c:pt idx="10">
                  <c:v>83-90</c:v>
                </c:pt>
                <c:pt idx="11">
                  <c:v>91-100</c:v>
                </c:pt>
              </c:strCache>
            </c:strRef>
          </c:cat>
          <c:val>
            <c:numRef>
              <c:f>'Уровень жизни'!$C$24:$N$24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</c:v>
                </c:pt>
                <c:pt idx="8">
                  <c:v>0.8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31-4E0B-9BAA-427AA7F7F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98784"/>
        <c:axId val="92200320"/>
      </c:lineChart>
      <c:catAx>
        <c:axId val="92198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2200320"/>
        <c:crosses val="autoZero"/>
        <c:auto val="1"/>
        <c:lblAlgn val="ctr"/>
        <c:lblOffset val="100"/>
        <c:noMultiLvlLbl val="0"/>
      </c:catAx>
      <c:valAx>
        <c:axId val="92200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2198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'Вероятноть кредита'!$B$19:$B$20</c:f>
              <c:strCache>
                <c:ptCount val="1"/>
                <c:pt idx="0">
                  <c:v>низкая</c:v>
                </c:pt>
              </c:strCache>
            </c:strRef>
          </c:tx>
          <c:cat>
            <c:strRef>
              <c:f>'Вероятноть кредита'!$C$18:$N$18</c:f>
              <c:strCache>
                <c:ptCount val="12"/>
                <c:pt idx="0">
                  <c:v>0-7</c:v>
                </c:pt>
                <c:pt idx="1">
                  <c:v>8-15</c:v>
                </c:pt>
                <c:pt idx="2">
                  <c:v>16-24</c:v>
                </c:pt>
                <c:pt idx="3">
                  <c:v>25-32</c:v>
                </c:pt>
                <c:pt idx="4">
                  <c:v>33-40</c:v>
                </c:pt>
                <c:pt idx="5">
                  <c:v>41-49</c:v>
                </c:pt>
                <c:pt idx="6">
                  <c:v>50-57</c:v>
                </c:pt>
                <c:pt idx="7">
                  <c:v>58-65</c:v>
                </c:pt>
                <c:pt idx="8">
                  <c:v>66-74</c:v>
                </c:pt>
                <c:pt idx="9">
                  <c:v>75-82</c:v>
                </c:pt>
                <c:pt idx="10">
                  <c:v>83-90</c:v>
                </c:pt>
                <c:pt idx="11">
                  <c:v>91-100</c:v>
                </c:pt>
              </c:strCache>
            </c:strRef>
          </c:cat>
          <c:val>
            <c:numRef>
              <c:f>'Вероятноть кредита'!$C$20:$N$20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</c:v>
                </c:pt>
                <c:pt idx="4">
                  <c:v>0.4</c:v>
                </c:pt>
                <c:pt idx="5">
                  <c:v>0.2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8C-4149-A989-E3A7AE3F4C32}"/>
            </c:ext>
          </c:extLst>
        </c:ser>
        <c:ser>
          <c:idx val="1"/>
          <c:order val="1"/>
          <c:tx>
            <c:strRef>
              <c:f>'Вероятноть кредита'!$B$21:$B$22</c:f>
              <c:strCache>
                <c:ptCount val="1"/>
                <c:pt idx="0">
                  <c:v>средняя</c:v>
                </c:pt>
              </c:strCache>
            </c:strRef>
          </c:tx>
          <c:cat>
            <c:strRef>
              <c:f>'Вероятноть кредита'!$C$18:$N$18</c:f>
              <c:strCache>
                <c:ptCount val="12"/>
                <c:pt idx="0">
                  <c:v>0-7</c:v>
                </c:pt>
                <c:pt idx="1">
                  <c:v>8-15</c:v>
                </c:pt>
                <c:pt idx="2">
                  <c:v>16-24</c:v>
                </c:pt>
                <c:pt idx="3">
                  <c:v>25-32</c:v>
                </c:pt>
                <c:pt idx="4">
                  <c:v>33-40</c:v>
                </c:pt>
                <c:pt idx="5">
                  <c:v>41-49</c:v>
                </c:pt>
                <c:pt idx="6">
                  <c:v>50-57</c:v>
                </c:pt>
                <c:pt idx="7">
                  <c:v>58-65</c:v>
                </c:pt>
                <c:pt idx="8">
                  <c:v>66-74</c:v>
                </c:pt>
                <c:pt idx="9">
                  <c:v>75-82</c:v>
                </c:pt>
                <c:pt idx="10">
                  <c:v>83-90</c:v>
                </c:pt>
                <c:pt idx="11">
                  <c:v>91-100</c:v>
                </c:pt>
              </c:strCache>
            </c:strRef>
          </c:cat>
          <c:val>
            <c:numRef>
              <c:f>'Вероятноть кредита'!$C$22:$N$22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8C-4149-A989-E3A7AE3F4C32}"/>
            </c:ext>
          </c:extLst>
        </c:ser>
        <c:ser>
          <c:idx val="2"/>
          <c:order val="2"/>
          <c:tx>
            <c:strRef>
              <c:f>'Вероятноть кредита'!$B$23:$B$24</c:f>
              <c:strCache>
                <c:ptCount val="1"/>
                <c:pt idx="0">
                  <c:v>высокая</c:v>
                </c:pt>
              </c:strCache>
            </c:strRef>
          </c:tx>
          <c:cat>
            <c:strRef>
              <c:f>'Вероятноть кредита'!$C$18:$N$18</c:f>
              <c:strCache>
                <c:ptCount val="12"/>
                <c:pt idx="0">
                  <c:v>0-7</c:v>
                </c:pt>
                <c:pt idx="1">
                  <c:v>8-15</c:v>
                </c:pt>
                <c:pt idx="2">
                  <c:v>16-24</c:v>
                </c:pt>
                <c:pt idx="3">
                  <c:v>25-32</c:v>
                </c:pt>
                <c:pt idx="4">
                  <c:v>33-40</c:v>
                </c:pt>
                <c:pt idx="5">
                  <c:v>41-49</c:v>
                </c:pt>
                <c:pt idx="6">
                  <c:v>50-57</c:v>
                </c:pt>
                <c:pt idx="7">
                  <c:v>58-65</c:v>
                </c:pt>
                <c:pt idx="8">
                  <c:v>66-74</c:v>
                </c:pt>
                <c:pt idx="9">
                  <c:v>75-82</c:v>
                </c:pt>
                <c:pt idx="10">
                  <c:v>83-90</c:v>
                </c:pt>
                <c:pt idx="11">
                  <c:v>91-100</c:v>
                </c:pt>
              </c:strCache>
            </c:strRef>
          </c:cat>
          <c:val>
            <c:numRef>
              <c:f>'Вероятноть кредита'!$C$24:$N$24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8C-4149-A989-E3A7AE3F4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24544"/>
        <c:axId val="116526080"/>
      </c:lineChart>
      <c:catAx>
        <c:axId val="1165245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6526080"/>
        <c:crosses val="autoZero"/>
        <c:auto val="1"/>
        <c:lblAlgn val="ctr"/>
        <c:lblOffset val="100"/>
        <c:noMultiLvlLbl val="0"/>
      </c:catAx>
      <c:valAx>
        <c:axId val="116526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524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22</xdr:col>
      <xdr:colOff>304800</xdr:colOff>
      <xdr:row>20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22</xdr:col>
      <xdr:colOff>304800</xdr:colOff>
      <xdr:row>20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</xdr:colOff>
      <xdr:row>5</xdr:row>
      <xdr:rowOff>22860</xdr:rowOff>
    </xdr:from>
    <xdr:to>
      <xdr:col>22</xdr:col>
      <xdr:colOff>320040</xdr:colOff>
      <xdr:row>20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</xdr:row>
      <xdr:rowOff>160020</xdr:rowOff>
    </xdr:from>
    <xdr:to>
      <xdr:col>22</xdr:col>
      <xdr:colOff>304800</xdr:colOff>
      <xdr:row>19</xdr:row>
      <xdr:rowOff>160020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zoomScaleNormal="100" workbookViewId="0">
      <selection activeCell="K16" sqref="K16"/>
    </sheetView>
  </sheetViews>
  <sheetFormatPr defaultRowHeight="15" x14ac:dyDescent="0.25"/>
  <cols>
    <col min="1" max="1" width="2.85546875" style="2" bestFit="1" customWidth="1"/>
    <col min="2" max="2" width="9.5703125" bestFit="1" customWidth="1"/>
    <col min="3" max="4" width="5.7109375" bestFit="1" customWidth="1"/>
    <col min="5" max="9" width="5.85546875" bestFit="1" customWidth="1"/>
    <col min="10" max="13" width="5.7109375" bestFit="1" customWidth="1"/>
    <col min="14" max="14" width="5.85546875" bestFit="1" customWidth="1"/>
    <col min="15" max="15" width="8.28515625" bestFit="1" customWidth="1"/>
  </cols>
  <sheetData>
    <row r="1" spans="1:15" x14ac:dyDescent="0.25">
      <c r="A1" s="3" t="s">
        <v>0</v>
      </c>
      <c r="B1" s="4" t="s">
        <v>1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8" t="s">
        <v>60</v>
      </c>
    </row>
    <row r="2" spans="1:15" x14ac:dyDescent="0.25">
      <c r="A2" s="10" t="s">
        <v>18</v>
      </c>
      <c r="B2" s="1" t="s">
        <v>2</v>
      </c>
      <c r="C2" s="1">
        <v>1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5" x14ac:dyDescent="0.25">
      <c r="A3" s="10"/>
      <c r="B3" s="1" t="s">
        <v>3</v>
      </c>
      <c r="C3" s="1">
        <v>0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5" x14ac:dyDescent="0.25">
      <c r="A4" s="10"/>
      <c r="B4" s="1" t="s">
        <v>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1</v>
      </c>
      <c r="M4" s="1">
        <v>1</v>
      </c>
      <c r="N4" s="1">
        <v>1</v>
      </c>
    </row>
    <row r="5" spans="1:15" x14ac:dyDescent="0.25">
      <c r="A5" s="10" t="s">
        <v>19</v>
      </c>
      <c r="B5" s="4" t="s">
        <v>2</v>
      </c>
      <c r="C5" s="4">
        <v>1</v>
      </c>
      <c r="D5" s="4">
        <v>1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5" x14ac:dyDescent="0.25">
      <c r="A6" s="10"/>
      <c r="B6" s="4" t="s">
        <v>3</v>
      </c>
      <c r="C6" s="4">
        <v>0</v>
      </c>
      <c r="D6" s="4">
        <v>0</v>
      </c>
      <c r="E6" s="4">
        <v>0</v>
      </c>
      <c r="F6" s="4">
        <v>1</v>
      </c>
      <c r="G6" s="4">
        <v>1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</row>
    <row r="7" spans="1:15" x14ac:dyDescent="0.25">
      <c r="A7" s="10"/>
      <c r="B7" s="4" t="s">
        <v>4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</row>
    <row r="8" spans="1:15" x14ac:dyDescent="0.25">
      <c r="A8" s="10" t="s">
        <v>20</v>
      </c>
      <c r="B8" s="1" t="s">
        <v>2</v>
      </c>
      <c r="C8" s="1">
        <v>1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5" x14ac:dyDescent="0.25">
      <c r="A9" s="10"/>
      <c r="B9" s="1" t="s">
        <v>3</v>
      </c>
      <c r="C9" s="1">
        <v>0</v>
      </c>
      <c r="D9" s="1">
        <v>0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5" x14ac:dyDescent="0.25">
      <c r="A10" s="10"/>
      <c r="B10" s="1" t="s">
        <v>4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</row>
    <row r="11" spans="1:15" x14ac:dyDescent="0.25">
      <c r="A11" s="10" t="s">
        <v>21</v>
      </c>
      <c r="B11" s="4" t="s">
        <v>2</v>
      </c>
      <c r="C11" s="4">
        <v>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2" spans="1:15" x14ac:dyDescent="0.25">
      <c r="A12" s="10"/>
      <c r="B12" s="4" t="s">
        <v>3</v>
      </c>
      <c r="C12" s="4">
        <v>0</v>
      </c>
      <c r="D12" s="4">
        <v>1</v>
      </c>
      <c r="E12" s="4">
        <v>1</v>
      </c>
      <c r="F12" s="4">
        <v>1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5" x14ac:dyDescent="0.25">
      <c r="A13" s="10"/>
      <c r="B13" s="4" t="s">
        <v>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</row>
    <row r="14" spans="1:15" x14ac:dyDescent="0.25">
      <c r="A14" s="10" t="s">
        <v>22</v>
      </c>
      <c r="B14" s="1" t="s">
        <v>2</v>
      </c>
      <c r="C14" s="1">
        <v>1</v>
      </c>
      <c r="D14" s="1">
        <v>1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5" x14ac:dyDescent="0.25">
      <c r="A15" s="10"/>
      <c r="B15" s="1" t="s">
        <v>3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</row>
    <row r="16" spans="1:15" x14ac:dyDescent="0.25">
      <c r="A16" s="10"/>
      <c r="B16" s="1" t="s">
        <v>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1</v>
      </c>
      <c r="M16" s="1">
        <v>1</v>
      </c>
      <c r="N16" s="1">
        <v>1</v>
      </c>
    </row>
    <row r="17" spans="2:14" x14ac:dyDescent="0.25">
      <c r="K17" s="6"/>
    </row>
    <row r="18" spans="2:14" x14ac:dyDescent="0.25">
      <c r="B18" s="4" t="s">
        <v>1</v>
      </c>
      <c r="C18" s="4" t="s">
        <v>5</v>
      </c>
      <c r="D18" s="4" t="s">
        <v>6</v>
      </c>
      <c r="E18" s="4" t="s">
        <v>7</v>
      </c>
      <c r="F18" s="4" t="s">
        <v>8</v>
      </c>
      <c r="G18" s="4" t="s">
        <v>9</v>
      </c>
      <c r="H18" s="4" t="s">
        <v>10</v>
      </c>
      <c r="I18" s="4" t="s">
        <v>11</v>
      </c>
      <c r="J18" s="4" t="s">
        <v>12</v>
      </c>
      <c r="K18" s="4" t="s">
        <v>13</v>
      </c>
      <c r="L18" s="4" t="s">
        <v>14</v>
      </c>
      <c r="M18" s="4" t="s">
        <v>15</v>
      </c>
      <c r="N18" s="4" t="s">
        <v>16</v>
      </c>
    </row>
    <row r="19" spans="2:14" x14ac:dyDescent="0.25">
      <c r="B19" s="10" t="s">
        <v>50</v>
      </c>
      <c r="C19" s="1">
        <f>SUM(C2,C5,C8,C11,C14)</f>
        <v>5</v>
      </c>
      <c r="D19" s="1">
        <f t="shared" ref="D19:N19" si="0">SUM(D2,D5,D8,D11,D14)</f>
        <v>4</v>
      </c>
      <c r="E19" s="1">
        <f t="shared" si="0"/>
        <v>2</v>
      </c>
      <c r="F19" s="1">
        <f t="shared" si="0"/>
        <v>1</v>
      </c>
      <c r="G19" s="1">
        <f t="shared" si="0"/>
        <v>0</v>
      </c>
      <c r="H19" s="1">
        <f t="shared" si="0"/>
        <v>0</v>
      </c>
      <c r="I19" s="1">
        <f t="shared" si="0"/>
        <v>0</v>
      </c>
      <c r="J19" s="1">
        <f t="shared" si="0"/>
        <v>0</v>
      </c>
      <c r="K19" s="1">
        <f t="shared" si="0"/>
        <v>0</v>
      </c>
      <c r="L19" s="1">
        <f t="shared" si="0"/>
        <v>0</v>
      </c>
      <c r="M19" s="1">
        <f t="shared" si="0"/>
        <v>0</v>
      </c>
      <c r="N19" s="1">
        <f t="shared" si="0"/>
        <v>0</v>
      </c>
    </row>
    <row r="20" spans="2:14" x14ac:dyDescent="0.25">
      <c r="B20" s="10"/>
      <c r="C20" s="1">
        <f>C19/5</f>
        <v>1</v>
      </c>
      <c r="D20" s="1">
        <f t="shared" ref="D20:N20" si="1">D19/5</f>
        <v>0.8</v>
      </c>
      <c r="E20" s="1">
        <f t="shared" si="1"/>
        <v>0.4</v>
      </c>
      <c r="F20" s="1">
        <f t="shared" si="1"/>
        <v>0.2</v>
      </c>
      <c r="G20" s="1">
        <f t="shared" si="1"/>
        <v>0</v>
      </c>
      <c r="H20" s="1">
        <f t="shared" si="1"/>
        <v>0</v>
      </c>
      <c r="I20" s="1">
        <f t="shared" si="1"/>
        <v>0</v>
      </c>
      <c r="J20" s="1">
        <f t="shared" si="1"/>
        <v>0</v>
      </c>
      <c r="K20" s="1">
        <f t="shared" si="1"/>
        <v>0</v>
      </c>
      <c r="L20" s="1">
        <f t="shared" si="1"/>
        <v>0</v>
      </c>
      <c r="M20" s="1">
        <v>0</v>
      </c>
      <c r="N20" s="1">
        <f t="shared" si="1"/>
        <v>0</v>
      </c>
    </row>
    <row r="21" spans="2:14" x14ac:dyDescent="0.25">
      <c r="B21" s="10" t="s">
        <v>51</v>
      </c>
      <c r="C21" s="4">
        <f>SUM(C3,C6,C9,C12,C15)</f>
        <v>0</v>
      </c>
      <c r="D21" s="4">
        <f t="shared" ref="D21:N21" si="2">SUM(D3,D6,D9,D12,D15)</f>
        <v>2</v>
      </c>
      <c r="E21" s="4">
        <f t="shared" si="2"/>
        <v>3</v>
      </c>
      <c r="F21" s="4">
        <f t="shared" si="2"/>
        <v>4</v>
      </c>
      <c r="G21" s="4">
        <f t="shared" si="2"/>
        <v>5</v>
      </c>
      <c r="H21" s="4">
        <f t="shared" si="2"/>
        <v>4</v>
      </c>
      <c r="I21" s="4">
        <f t="shared" si="2"/>
        <v>3</v>
      </c>
      <c r="J21" s="4">
        <f t="shared" si="2"/>
        <v>1</v>
      </c>
      <c r="K21" s="4">
        <f t="shared" si="2"/>
        <v>0</v>
      </c>
      <c r="L21" s="4">
        <f t="shared" si="2"/>
        <v>0</v>
      </c>
      <c r="M21" s="4">
        <f t="shared" si="2"/>
        <v>0</v>
      </c>
      <c r="N21" s="4">
        <f t="shared" si="2"/>
        <v>0</v>
      </c>
    </row>
    <row r="22" spans="2:14" x14ac:dyDescent="0.25">
      <c r="B22" s="10"/>
      <c r="C22" s="4">
        <f>C21/5</f>
        <v>0</v>
      </c>
      <c r="D22" s="4">
        <f t="shared" ref="D22:N22" si="3">D21/5</f>
        <v>0.4</v>
      </c>
      <c r="E22" s="4">
        <f t="shared" si="3"/>
        <v>0.6</v>
      </c>
      <c r="F22" s="4">
        <f t="shared" si="3"/>
        <v>0.8</v>
      </c>
      <c r="G22" s="4">
        <f t="shared" si="3"/>
        <v>1</v>
      </c>
      <c r="H22" s="4">
        <f t="shared" si="3"/>
        <v>0.8</v>
      </c>
      <c r="I22" s="4">
        <f t="shared" si="3"/>
        <v>0.6</v>
      </c>
      <c r="J22" s="4">
        <f t="shared" si="3"/>
        <v>0.2</v>
      </c>
      <c r="K22" s="4">
        <f t="shared" si="3"/>
        <v>0</v>
      </c>
      <c r="L22" s="4">
        <f t="shared" si="3"/>
        <v>0</v>
      </c>
      <c r="M22" s="4">
        <f t="shared" si="3"/>
        <v>0</v>
      </c>
      <c r="N22" s="4">
        <f t="shared" si="3"/>
        <v>0</v>
      </c>
    </row>
    <row r="23" spans="2:14" x14ac:dyDescent="0.25">
      <c r="B23" s="10" t="s">
        <v>52</v>
      </c>
      <c r="C23" s="1">
        <f>SUM(C4,C7,C10,C13,C16)</f>
        <v>0</v>
      </c>
      <c r="D23" s="1">
        <f t="shared" ref="D23:N23" si="4">SUM(D4,D7,D10,D13,D16)</f>
        <v>0</v>
      </c>
      <c r="E23" s="1">
        <f t="shared" si="4"/>
        <v>0</v>
      </c>
      <c r="F23" s="1">
        <f t="shared" si="4"/>
        <v>0</v>
      </c>
      <c r="G23" s="1">
        <f t="shared" si="4"/>
        <v>0</v>
      </c>
      <c r="H23" s="1">
        <f t="shared" si="4"/>
        <v>2</v>
      </c>
      <c r="I23" s="1">
        <f t="shared" si="4"/>
        <v>3</v>
      </c>
      <c r="J23" s="1">
        <f t="shared" si="4"/>
        <v>4</v>
      </c>
      <c r="K23" s="1">
        <f t="shared" si="4"/>
        <v>5</v>
      </c>
      <c r="L23" s="1">
        <f t="shared" si="4"/>
        <v>5</v>
      </c>
      <c r="M23" s="1">
        <f t="shared" si="4"/>
        <v>5</v>
      </c>
      <c r="N23" s="1">
        <f t="shared" si="4"/>
        <v>5</v>
      </c>
    </row>
    <row r="24" spans="2:14" x14ac:dyDescent="0.25">
      <c r="B24" s="10"/>
      <c r="C24" s="1">
        <f t="shared" ref="C24:G24" si="5">C23/5</f>
        <v>0</v>
      </c>
      <c r="D24" s="1">
        <f t="shared" si="5"/>
        <v>0</v>
      </c>
      <c r="E24" s="1">
        <f t="shared" si="5"/>
        <v>0</v>
      </c>
      <c r="F24" s="1">
        <f t="shared" si="5"/>
        <v>0</v>
      </c>
      <c r="G24" s="1">
        <f t="shared" si="5"/>
        <v>0</v>
      </c>
      <c r="H24" s="1">
        <f>H23/5</f>
        <v>0.4</v>
      </c>
      <c r="I24" s="1">
        <f t="shared" ref="I24:N24" si="6">I23/5</f>
        <v>0.6</v>
      </c>
      <c r="J24" s="1">
        <f t="shared" si="6"/>
        <v>0.8</v>
      </c>
      <c r="K24" s="1">
        <f t="shared" si="6"/>
        <v>1</v>
      </c>
      <c r="L24" s="1">
        <f t="shared" si="6"/>
        <v>1</v>
      </c>
      <c r="M24" s="1">
        <f t="shared" si="6"/>
        <v>1</v>
      </c>
      <c r="N24" s="1">
        <f t="shared" si="6"/>
        <v>1</v>
      </c>
    </row>
  </sheetData>
  <mergeCells count="8">
    <mergeCell ref="B19:B20"/>
    <mergeCell ref="B21:B22"/>
    <mergeCell ref="B23:B24"/>
    <mergeCell ref="A2:A4"/>
    <mergeCell ref="A5:A7"/>
    <mergeCell ref="A8:A10"/>
    <mergeCell ref="A11:A13"/>
    <mergeCell ref="A14:A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4"/>
  <sheetViews>
    <sheetView topLeftCell="B1" zoomScaleNormal="100" workbookViewId="0">
      <selection activeCell="E22" sqref="E22"/>
    </sheetView>
  </sheetViews>
  <sheetFormatPr defaultRowHeight="15" x14ac:dyDescent="0.25"/>
  <cols>
    <col min="1" max="1" width="2.85546875" bestFit="1" customWidth="1"/>
    <col min="2" max="2" width="11.7109375" bestFit="1" customWidth="1"/>
    <col min="3" max="3" width="4.7109375" bestFit="1" customWidth="1"/>
    <col min="4" max="4" width="6.7109375" bestFit="1" customWidth="1"/>
    <col min="5" max="14" width="7.7109375" bestFit="1" customWidth="1"/>
    <col min="15" max="15" width="9.5703125" bestFit="1" customWidth="1"/>
  </cols>
  <sheetData>
    <row r="1" spans="1:25" x14ac:dyDescent="0.25">
      <c r="A1" s="3" t="s">
        <v>0</v>
      </c>
      <c r="B1" s="4" t="s">
        <v>1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9" t="s">
        <v>59</v>
      </c>
    </row>
    <row r="2" spans="1:25" x14ac:dyDescent="0.25">
      <c r="A2" s="10" t="s">
        <v>18</v>
      </c>
      <c r="B2" s="1" t="s">
        <v>24</v>
      </c>
      <c r="C2" s="1">
        <v>1</v>
      </c>
      <c r="D2" s="1">
        <v>1</v>
      </c>
      <c r="E2" s="1">
        <v>1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10"/>
      <c r="B3" s="1" t="s">
        <v>68</v>
      </c>
      <c r="C3" s="1">
        <v>0</v>
      </c>
      <c r="D3" s="1">
        <v>0</v>
      </c>
      <c r="E3" s="1">
        <v>0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Q3" s="7"/>
      <c r="R3" s="7"/>
      <c r="S3" s="7"/>
      <c r="T3" s="7"/>
      <c r="U3" s="7"/>
      <c r="V3" s="7"/>
      <c r="W3" s="7"/>
      <c r="X3" s="7"/>
      <c r="Y3" s="7"/>
    </row>
    <row r="4" spans="1:25" x14ac:dyDescent="0.25">
      <c r="A4" s="10"/>
      <c r="B4" s="1" t="s">
        <v>66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Q4" s="7"/>
      <c r="R4" s="7"/>
      <c r="S4" s="7"/>
      <c r="T4" s="7"/>
      <c r="U4" s="7"/>
      <c r="V4" s="7"/>
      <c r="W4" s="7"/>
      <c r="X4" s="7"/>
      <c r="Y4" s="7"/>
    </row>
    <row r="5" spans="1:25" x14ac:dyDescent="0.25">
      <c r="A5" s="10" t="s">
        <v>19</v>
      </c>
      <c r="B5" s="4" t="s">
        <v>24</v>
      </c>
      <c r="C5" s="4">
        <v>1</v>
      </c>
      <c r="D5" s="4">
        <v>1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Q5" s="7"/>
      <c r="R5" s="7"/>
      <c r="S5" s="7"/>
      <c r="T5" s="7"/>
      <c r="U5" s="7"/>
      <c r="V5" s="7"/>
      <c r="W5" s="7"/>
      <c r="X5" s="7"/>
      <c r="Y5" s="7"/>
    </row>
    <row r="6" spans="1:25" x14ac:dyDescent="0.25">
      <c r="A6" s="10"/>
      <c r="B6" s="4" t="s">
        <v>68</v>
      </c>
      <c r="C6" s="4">
        <v>0</v>
      </c>
      <c r="D6" s="4">
        <v>0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Q6" s="7"/>
      <c r="R6" s="7"/>
      <c r="S6" s="7"/>
      <c r="T6" s="7"/>
      <c r="U6" s="7"/>
      <c r="V6" s="7"/>
      <c r="W6" s="7"/>
      <c r="X6" s="7"/>
      <c r="Y6" s="7"/>
    </row>
    <row r="7" spans="1:25" x14ac:dyDescent="0.25">
      <c r="A7" s="10"/>
      <c r="B7" s="4" t="s">
        <v>66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Q7" s="7"/>
      <c r="R7" s="7"/>
      <c r="S7" s="7"/>
      <c r="T7" s="7"/>
      <c r="U7" s="7"/>
      <c r="V7" s="7"/>
      <c r="W7" s="7"/>
      <c r="X7" s="7"/>
      <c r="Y7" s="7"/>
    </row>
    <row r="8" spans="1:25" x14ac:dyDescent="0.25">
      <c r="A8" s="10" t="s">
        <v>20</v>
      </c>
      <c r="B8" s="1" t="s">
        <v>24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Q8" s="7"/>
      <c r="R8" s="7"/>
      <c r="S8" s="7"/>
      <c r="T8" s="7"/>
      <c r="U8" s="7"/>
      <c r="V8" s="7"/>
      <c r="W8" s="7"/>
      <c r="X8" s="7"/>
      <c r="Y8" s="7"/>
    </row>
    <row r="9" spans="1:25" x14ac:dyDescent="0.25">
      <c r="A9" s="10"/>
      <c r="B9" s="1" t="s">
        <v>68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1</v>
      </c>
      <c r="J9" s="1">
        <v>1</v>
      </c>
      <c r="K9" s="1">
        <v>1</v>
      </c>
      <c r="L9" s="1">
        <v>0</v>
      </c>
      <c r="M9" s="1">
        <v>0</v>
      </c>
      <c r="N9" s="1">
        <v>0</v>
      </c>
      <c r="Q9" s="7"/>
      <c r="R9" s="7"/>
      <c r="S9" s="7"/>
      <c r="T9" s="7"/>
      <c r="U9" s="7"/>
      <c r="V9" s="7"/>
      <c r="W9" s="7"/>
      <c r="X9" s="7"/>
      <c r="Y9" s="7"/>
    </row>
    <row r="10" spans="1:25" x14ac:dyDescent="0.25">
      <c r="A10" s="10"/>
      <c r="B10" s="1" t="s">
        <v>66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5">
      <c r="A11" s="10" t="s">
        <v>21</v>
      </c>
      <c r="B11" s="4" t="s">
        <v>24</v>
      </c>
      <c r="C11" s="4">
        <v>1</v>
      </c>
      <c r="D11" s="4">
        <v>1</v>
      </c>
      <c r="E11" s="4">
        <v>1</v>
      </c>
      <c r="F11" s="4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5">
      <c r="A12" s="10"/>
      <c r="B12" s="4" t="s">
        <v>68</v>
      </c>
      <c r="C12" s="4">
        <v>0</v>
      </c>
      <c r="D12" s="4">
        <v>0</v>
      </c>
      <c r="E12" s="4">
        <v>0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0</v>
      </c>
      <c r="M12" s="4">
        <v>0</v>
      </c>
      <c r="N12" s="4">
        <v>0</v>
      </c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5">
      <c r="A13" s="10"/>
      <c r="B13" s="4" t="s">
        <v>66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1</v>
      </c>
      <c r="M13" s="4">
        <v>1</v>
      </c>
      <c r="N13" s="4">
        <v>1</v>
      </c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5">
      <c r="A14" s="10" t="s">
        <v>22</v>
      </c>
      <c r="B14" s="1" t="s">
        <v>24</v>
      </c>
      <c r="C14" s="1">
        <v>1</v>
      </c>
      <c r="D14" s="1">
        <v>1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5">
      <c r="A15" s="10"/>
      <c r="B15" s="1" t="s">
        <v>25</v>
      </c>
      <c r="C15" s="1">
        <v>0</v>
      </c>
      <c r="D15" s="1">
        <v>0</v>
      </c>
      <c r="E15" s="1">
        <v>0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25">
      <c r="A16" s="10"/>
      <c r="B16" s="1" t="s">
        <v>66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Q16" s="7"/>
      <c r="R16" s="7"/>
      <c r="S16" s="7"/>
      <c r="T16" s="7"/>
      <c r="U16" s="7"/>
      <c r="V16" s="7"/>
      <c r="W16" s="7"/>
      <c r="X16" s="7"/>
      <c r="Y16" s="7"/>
    </row>
    <row r="17" spans="2:25" x14ac:dyDescent="0.25">
      <c r="Q17" s="7"/>
      <c r="R17" s="7"/>
      <c r="S17" s="7"/>
      <c r="T17" s="7"/>
      <c r="U17" s="7"/>
      <c r="V17" s="7"/>
      <c r="W17" s="7"/>
      <c r="X17" s="7"/>
      <c r="Y17" s="7"/>
    </row>
    <row r="18" spans="2:25" x14ac:dyDescent="0.25">
      <c r="B18" s="4" t="s">
        <v>1</v>
      </c>
      <c r="C18" s="5" t="s">
        <v>26</v>
      </c>
      <c r="D18" s="5" t="s">
        <v>27</v>
      </c>
      <c r="E18" s="5" t="s">
        <v>28</v>
      </c>
      <c r="F18" s="5" t="s">
        <v>29</v>
      </c>
      <c r="G18" s="5" t="s">
        <v>30</v>
      </c>
      <c r="H18" s="5" t="s">
        <v>31</v>
      </c>
      <c r="I18" s="5" t="s">
        <v>32</v>
      </c>
      <c r="J18" s="5" t="s">
        <v>33</v>
      </c>
      <c r="K18" s="5" t="s">
        <v>34</v>
      </c>
      <c r="L18" s="5" t="s">
        <v>35</v>
      </c>
      <c r="M18" s="5" t="s">
        <v>36</v>
      </c>
      <c r="N18" s="5" t="s">
        <v>37</v>
      </c>
      <c r="Q18" s="7"/>
      <c r="R18" s="7"/>
      <c r="S18" s="7"/>
      <c r="T18" s="7"/>
      <c r="U18" s="7"/>
      <c r="V18" s="7"/>
      <c r="W18" s="7"/>
      <c r="X18" s="7"/>
      <c r="Y18" s="7"/>
    </row>
    <row r="19" spans="2:25" x14ac:dyDescent="0.25">
      <c r="B19" s="10" t="s">
        <v>53</v>
      </c>
      <c r="C19" s="1">
        <f>SUM(C2,C5,C8,C11,C14)</f>
        <v>5</v>
      </c>
      <c r="D19" s="1">
        <f t="shared" ref="D19:N19" si="0">SUM(D2,D5,D8,D11,D14)</f>
        <v>5</v>
      </c>
      <c r="E19" s="1">
        <f t="shared" si="0"/>
        <v>5</v>
      </c>
      <c r="F19" s="1">
        <f t="shared" si="0"/>
        <v>3</v>
      </c>
      <c r="G19" s="1">
        <f t="shared" si="0"/>
        <v>1</v>
      </c>
      <c r="H19" s="1">
        <f t="shared" si="0"/>
        <v>0</v>
      </c>
      <c r="I19" s="1">
        <f t="shared" si="0"/>
        <v>0</v>
      </c>
      <c r="J19" s="1">
        <f t="shared" si="0"/>
        <v>0</v>
      </c>
      <c r="K19" s="1">
        <f t="shared" si="0"/>
        <v>0</v>
      </c>
      <c r="L19" s="1">
        <f t="shared" si="0"/>
        <v>0</v>
      </c>
      <c r="M19" s="1">
        <f t="shared" si="0"/>
        <v>0</v>
      </c>
      <c r="N19" s="1">
        <f t="shared" si="0"/>
        <v>0</v>
      </c>
    </row>
    <row r="20" spans="2:25" x14ac:dyDescent="0.25">
      <c r="B20" s="10"/>
      <c r="C20" s="1">
        <f>C19/5</f>
        <v>1</v>
      </c>
      <c r="D20" s="1">
        <f t="shared" ref="D20:G20" si="1">D19/5</f>
        <v>1</v>
      </c>
      <c r="E20" s="1">
        <f t="shared" si="1"/>
        <v>1</v>
      </c>
      <c r="F20" s="1">
        <f t="shared" si="1"/>
        <v>0.6</v>
      </c>
      <c r="G20" s="1">
        <f t="shared" si="1"/>
        <v>0.2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2:25" x14ac:dyDescent="0.25">
      <c r="B21" s="10" t="s">
        <v>67</v>
      </c>
      <c r="C21" s="4">
        <f>SUM(C3,C6,C9,C12,C15)</f>
        <v>0</v>
      </c>
      <c r="D21" s="4">
        <f t="shared" ref="D21:N21" si="2">SUM(D3,D6,D9,D12,D15)</f>
        <v>0</v>
      </c>
      <c r="E21" s="4">
        <f t="shared" si="2"/>
        <v>1</v>
      </c>
      <c r="F21" s="4">
        <f t="shared" si="2"/>
        <v>4</v>
      </c>
      <c r="G21" s="4">
        <f t="shared" si="2"/>
        <v>4</v>
      </c>
      <c r="H21" s="4">
        <f t="shared" si="2"/>
        <v>5</v>
      </c>
      <c r="I21" s="4">
        <f t="shared" si="2"/>
        <v>5</v>
      </c>
      <c r="J21" s="4">
        <f t="shared" si="2"/>
        <v>4</v>
      </c>
      <c r="K21" s="4">
        <f t="shared" si="2"/>
        <v>2</v>
      </c>
      <c r="L21" s="4">
        <f t="shared" si="2"/>
        <v>0</v>
      </c>
      <c r="M21" s="4">
        <f t="shared" si="2"/>
        <v>0</v>
      </c>
      <c r="N21" s="4">
        <f t="shared" si="2"/>
        <v>0</v>
      </c>
    </row>
    <row r="22" spans="2:25" x14ac:dyDescent="0.25">
      <c r="B22" s="10"/>
      <c r="C22" s="4">
        <f t="shared" ref="C22:D22" si="3">C21/5</f>
        <v>0</v>
      </c>
      <c r="D22" s="4">
        <f t="shared" si="3"/>
        <v>0</v>
      </c>
      <c r="E22" s="4">
        <f>E21/5</f>
        <v>0.2</v>
      </c>
      <c r="F22" s="4">
        <f t="shared" ref="F22:N22" si="4">F21/5</f>
        <v>0.8</v>
      </c>
      <c r="G22" s="4">
        <f t="shared" si="4"/>
        <v>0.8</v>
      </c>
      <c r="H22" s="4">
        <f t="shared" si="4"/>
        <v>1</v>
      </c>
      <c r="I22" s="4">
        <f t="shared" si="4"/>
        <v>1</v>
      </c>
      <c r="J22" s="4">
        <f t="shared" si="4"/>
        <v>0.8</v>
      </c>
      <c r="K22" s="4">
        <f t="shared" si="4"/>
        <v>0.4</v>
      </c>
      <c r="L22" s="4">
        <f t="shared" si="4"/>
        <v>0</v>
      </c>
      <c r="M22" s="4">
        <f t="shared" si="4"/>
        <v>0</v>
      </c>
      <c r="N22" s="4">
        <f t="shared" si="4"/>
        <v>0</v>
      </c>
    </row>
    <row r="23" spans="2:25" x14ac:dyDescent="0.25">
      <c r="B23" s="10" t="s">
        <v>65</v>
      </c>
      <c r="C23" s="1">
        <f>SUM(C4,C7,C10,C13,C16)</f>
        <v>0</v>
      </c>
      <c r="D23" s="1">
        <f t="shared" ref="D23:N23" si="5">SUM(D4,D7,D10,D13,D16)</f>
        <v>0</v>
      </c>
      <c r="E23" s="1">
        <f t="shared" si="5"/>
        <v>0</v>
      </c>
      <c r="F23" s="1">
        <f t="shared" si="5"/>
        <v>0</v>
      </c>
      <c r="G23" s="1">
        <f t="shared" si="5"/>
        <v>0</v>
      </c>
      <c r="H23" s="1">
        <f t="shared" si="5"/>
        <v>0</v>
      </c>
      <c r="I23" s="1">
        <f t="shared" si="5"/>
        <v>0</v>
      </c>
      <c r="J23" s="1">
        <f t="shared" si="5"/>
        <v>4</v>
      </c>
      <c r="K23" s="1">
        <f t="shared" si="5"/>
        <v>4</v>
      </c>
      <c r="L23" s="1">
        <f t="shared" si="5"/>
        <v>5</v>
      </c>
      <c r="M23" s="1">
        <f t="shared" si="5"/>
        <v>5</v>
      </c>
      <c r="N23" s="1">
        <f t="shared" si="5"/>
        <v>5</v>
      </c>
    </row>
    <row r="24" spans="2:25" x14ac:dyDescent="0.25">
      <c r="B24" s="10"/>
      <c r="C24" s="1">
        <f t="shared" ref="C24:G24" si="6">C23/5</f>
        <v>0</v>
      </c>
      <c r="D24" s="1">
        <f t="shared" si="6"/>
        <v>0</v>
      </c>
      <c r="E24" s="1">
        <f t="shared" si="6"/>
        <v>0</v>
      </c>
      <c r="F24" s="1">
        <f t="shared" si="6"/>
        <v>0</v>
      </c>
      <c r="G24" s="1">
        <f t="shared" si="6"/>
        <v>0</v>
      </c>
      <c r="H24" s="1">
        <f>H23/5</f>
        <v>0</v>
      </c>
      <c r="I24" s="1">
        <f t="shared" ref="I24:N24" si="7">I23/5</f>
        <v>0</v>
      </c>
      <c r="J24" s="1">
        <f t="shared" si="7"/>
        <v>0.8</v>
      </c>
      <c r="K24" s="1">
        <f t="shared" si="7"/>
        <v>0.8</v>
      </c>
      <c r="L24" s="1">
        <f t="shared" si="7"/>
        <v>1</v>
      </c>
      <c r="M24" s="1">
        <f t="shared" si="7"/>
        <v>1</v>
      </c>
      <c r="N24" s="1">
        <f t="shared" si="7"/>
        <v>1</v>
      </c>
    </row>
  </sheetData>
  <mergeCells count="8">
    <mergeCell ref="B19:B20"/>
    <mergeCell ref="B21:B22"/>
    <mergeCell ref="B23:B24"/>
    <mergeCell ref="A2:A4"/>
    <mergeCell ref="A5:A7"/>
    <mergeCell ref="A8:A10"/>
    <mergeCell ref="A11:A13"/>
    <mergeCell ref="A14:A1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zoomScaleNormal="100" workbookViewId="0">
      <selection activeCell="G10" sqref="G10"/>
    </sheetView>
  </sheetViews>
  <sheetFormatPr defaultRowHeight="15" x14ac:dyDescent="0.25"/>
  <cols>
    <col min="1" max="1" width="3" bestFit="1" customWidth="1"/>
    <col min="2" max="2" width="9" bestFit="1" customWidth="1"/>
    <col min="3" max="3" width="3.7109375" bestFit="1" customWidth="1"/>
    <col min="4" max="4" width="4.7109375" bestFit="1" customWidth="1"/>
    <col min="5" max="13" width="5.7109375" bestFit="1" customWidth="1"/>
    <col min="14" max="14" width="6.7109375" bestFit="1" customWidth="1"/>
    <col min="15" max="15" width="9.5703125" bestFit="1" customWidth="1"/>
  </cols>
  <sheetData>
    <row r="1" spans="1:15" x14ac:dyDescent="0.25">
      <c r="A1" s="3" t="s">
        <v>0</v>
      </c>
      <c r="B1" s="4" t="s">
        <v>1</v>
      </c>
      <c r="C1" s="5" t="s">
        <v>49</v>
      </c>
      <c r="D1" s="5" t="s">
        <v>48</v>
      </c>
      <c r="E1" s="5" t="s">
        <v>47</v>
      </c>
      <c r="F1" s="5" t="s">
        <v>46</v>
      </c>
      <c r="G1" s="5" t="s">
        <v>45</v>
      </c>
      <c r="H1" s="5" t="s">
        <v>44</v>
      </c>
      <c r="I1" s="5" t="s">
        <v>43</v>
      </c>
      <c r="J1" s="5" t="s">
        <v>42</v>
      </c>
      <c r="K1" s="5" t="s">
        <v>41</v>
      </c>
      <c r="L1" s="5" t="s">
        <v>40</v>
      </c>
      <c r="M1" s="5" t="s">
        <v>39</v>
      </c>
      <c r="N1" s="5" t="s">
        <v>38</v>
      </c>
      <c r="O1" s="9" t="s">
        <v>59</v>
      </c>
    </row>
    <row r="2" spans="1:15" x14ac:dyDescent="0.25">
      <c r="A2" s="10" t="s">
        <v>18</v>
      </c>
      <c r="B2" s="1" t="s">
        <v>58</v>
      </c>
      <c r="C2" s="1">
        <v>1</v>
      </c>
      <c r="D2" s="1">
        <v>1</v>
      </c>
      <c r="E2" s="1">
        <v>1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5" x14ac:dyDescent="0.25">
      <c r="A3" s="10"/>
      <c r="B3" s="1" t="s">
        <v>3</v>
      </c>
      <c r="C3" s="1">
        <v>0</v>
      </c>
      <c r="D3" s="1">
        <v>0</v>
      </c>
      <c r="E3" s="1">
        <v>0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0</v>
      </c>
      <c r="M3" s="1">
        <v>0</v>
      </c>
      <c r="N3" s="1">
        <v>0</v>
      </c>
    </row>
    <row r="4" spans="1:15" x14ac:dyDescent="0.25">
      <c r="A4" s="10"/>
      <c r="B4" s="1" t="s">
        <v>17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1</v>
      </c>
      <c r="M4" s="1">
        <v>1</v>
      </c>
      <c r="N4" s="1">
        <v>1</v>
      </c>
    </row>
    <row r="5" spans="1:15" x14ac:dyDescent="0.25">
      <c r="A5" s="10" t="s">
        <v>19</v>
      </c>
      <c r="B5" s="4" t="s">
        <v>58</v>
      </c>
      <c r="C5" s="4">
        <v>1</v>
      </c>
      <c r="D5" s="4">
        <v>1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5" x14ac:dyDescent="0.25">
      <c r="A6" s="10"/>
      <c r="B6" s="4" t="s">
        <v>3</v>
      </c>
      <c r="C6" s="4">
        <v>0</v>
      </c>
      <c r="D6" s="4">
        <v>0</v>
      </c>
      <c r="E6" s="4">
        <v>0</v>
      </c>
      <c r="F6" s="4">
        <v>1</v>
      </c>
      <c r="G6" s="4">
        <v>1</v>
      </c>
      <c r="H6" s="4">
        <v>1</v>
      </c>
      <c r="I6" s="4">
        <v>1</v>
      </c>
      <c r="J6" s="4">
        <v>0</v>
      </c>
      <c r="K6" s="4">
        <v>0</v>
      </c>
      <c r="L6" s="4">
        <v>0</v>
      </c>
      <c r="M6" s="4">
        <v>0</v>
      </c>
      <c r="N6" s="4">
        <v>0</v>
      </c>
    </row>
    <row r="7" spans="1:15" x14ac:dyDescent="0.25">
      <c r="A7" s="10"/>
      <c r="B7" s="4" t="s">
        <v>17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</v>
      </c>
      <c r="K7" s="4">
        <v>1</v>
      </c>
      <c r="L7" s="4">
        <v>1</v>
      </c>
      <c r="M7" s="4">
        <v>1</v>
      </c>
      <c r="N7" s="4">
        <v>1</v>
      </c>
    </row>
    <row r="8" spans="1:15" x14ac:dyDescent="0.25">
      <c r="A8" s="10" t="s">
        <v>20</v>
      </c>
      <c r="B8" s="1" t="s">
        <v>58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5" x14ac:dyDescent="0.25">
      <c r="A9" s="10"/>
      <c r="B9" s="1" t="s">
        <v>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0</v>
      </c>
      <c r="N9" s="1">
        <v>0</v>
      </c>
    </row>
    <row r="10" spans="1:15" x14ac:dyDescent="0.25">
      <c r="A10" s="10"/>
      <c r="B10" s="1" t="s">
        <v>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1</v>
      </c>
      <c r="M10" s="1">
        <v>1</v>
      </c>
      <c r="N10" s="1">
        <v>1</v>
      </c>
    </row>
    <row r="11" spans="1:15" x14ac:dyDescent="0.25">
      <c r="A11" s="10" t="s">
        <v>21</v>
      </c>
      <c r="B11" s="4" t="s">
        <v>58</v>
      </c>
      <c r="C11" s="4">
        <v>1</v>
      </c>
      <c r="D11" s="4">
        <v>1</v>
      </c>
      <c r="E11" s="4">
        <v>1</v>
      </c>
      <c r="F11" s="4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2" spans="1:15" x14ac:dyDescent="0.25">
      <c r="A12" s="10"/>
      <c r="B12" s="4" t="s">
        <v>3</v>
      </c>
      <c r="C12" s="4">
        <v>0</v>
      </c>
      <c r="D12" s="4">
        <v>0</v>
      </c>
      <c r="E12" s="4">
        <v>0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0</v>
      </c>
      <c r="M12" s="4">
        <v>0</v>
      </c>
      <c r="N12" s="4">
        <v>0</v>
      </c>
    </row>
    <row r="13" spans="1:15" x14ac:dyDescent="0.25">
      <c r="A13" s="10"/>
      <c r="B13" s="4" t="s">
        <v>17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</row>
    <row r="14" spans="1:15" x14ac:dyDescent="0.25">
      <c r="A14" s="10" t="s">
        <v>22</v>
      </c>
      <c r="B14" s="1" t="s">
        <v>58</v>
      </c>
      <c r="C14" s="1">
        <v>1</v>
      </c>
      <c r="D14" s="1">
        <v>1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5" x14ac:dyDescent="0.25">
      <c r="A15" s="10"/>
      <c r="B15" s="1" t="s">
        <v>3</v>
      </c>
      <c r="C15" s="1">
        <v>0</v>
      </c>
      <c r="D15" s="1">
        <v>0</v>
      </c>
      <c r="E15" s="1">
        <v>0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</row>
    <row r="16" spans="1:15" x14ac:dyDescent="0.25">
      <c r="A16" s="10"/>
      <c r="B16" s="1" t="s">
        <v>17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1</v>
      </c>
      <c r="M16" s="1">
        <v>1</v>
      </c>
      <c r="N16" s="1">
        <v>1</v>
      </c>
    </row>
    <row r="18" spans="2:14" x14ac:dyDescent="0.25">
      <c r="B18" s="4" t="s">
        <v>1</v>
      </c>
      <c r="C18" s="5" t="s">
        <v>49</v>
      </c>
      <c r="D18" s="5" t="s">
        <v>48</v>
      </c>
      <c r="E18" s="5" t="s">
        <v>47</v>
      </c>
      <c r="F18" s="5" t="s">
        <v>46</v>
      </c>
      <c r="G18" s="5" t="s">
        <v>45</v>
      </c>
      <c r="H18" s="5" t="s">
        <v>44</v>
      </c>
      <c r="I18" s="5" t="s">
        <v>43</v>
      </c>
      <c r="J18" s="5" t="s">
        <v>42</v>
      </c>
      <c r="K18" s="5" t="s">
        <v>41</v>
      </c>
      <c r="L18" s="5" t="s">
        <v>40</v>
      </c>
      <c r="M18" s="5" t="s">
        <v>39</v>
      </c>
      <c r="N18" s="5" t="s">
        <v>38</v>
      </c>
    </row>
    <row r="19" spans="2:14" x14ac:dyDescent="0.25">
      <c r="B19" s="10" t="s">
        <v>62</v>
      </c>
      <c r="C19" s="1">
        <f>SUM(C2,C5,C8,C11,C14)</f>
        <v>5</v>
      </c>
      <c r="D19" s="1">
        <f t="shared" ref="D19:N19" si="0">SUM(D2,D5,D8,D11,D14)</f>
        <v>5</v>
      </c>
      <c r="E19" s="1">
        <f t="shared" si="0"/>
        <v>5</v>
      </c>
      <c r="F19" s="1">
        <f t="shared" si="0"/>
        <v>3</v>
      </c>
      <c r="G19" s="1">
        <f t="shared" si="0"/>
        <v>1</v>
      </c>
      <c r="H19" s="1">
        <f t="shared" si="0"/>
        <v>0</v>
      </c>
      <c r="I19" s="1">
        <f t="shared" si="0"/>
        <v>0</v>
      </c>
      <c r="J19" s="1">
        <f t="shared" si="0"/>
        <v>0</v>
      </c>
      <c r="K19" s="1">
        <f t="shared" si="0"/>
        <v>0</v>
      </c>
      <c r="L19" s="1">
        <f t="shared" si="0"/>
        <v>0</v>
      </c>
      <c r="M19" s="1">
        <f t="shared" si="0"/>
        <v>0</v>
      </c>
      <c r="N19" s="1">
        <f t="shared" si="0"/>
        <v>0</v>
      </c>
    </row>
    <row r="20" spans="2:14" x14ac:dyDescent="0.25">
      <c r="B20" s="10"/>
      <c r="C20" s="1">
        <f>C19/5</f>
        <v>1</v>
      </c>
      <c r="D20" s="1">
        <f t="shared" ref="D20:N20" si="1">D19/5</f>
        <v>1</v>
      </c>
      <c r="E20" s="1">
        <f t="shared" si="1"/>
        <v>1</v>
      </c>
      <c r="F20" s="1">
        <f t="shared" si="1"/>
        <v>0.6</v>
      </c>
      <c r="G20" s="1">
        <f t="shared" si="1"/>
        <v>0.2</v>
      </c>
      <c r="H20" s="1">
        <f t="shared" si="1"/>
        <v>0</v>
      </c>
      <c r="I20" s="1">
        <f t="shared" si="1"/>
        <v>0</v>
      </c>
      <c r="J20" s="1">
        <f t="shared" si="1"/>
        <v>0</v>
      </c>
      <c r="K20" s="1">
        <f t="shared" si="1"/>
        <v>0</v>
      </c>
      <c r="L20" s="1">
        <f t="shared" si="1"/>
        <v>0</v>
      </c>
      <c r="M20" s="1">
        <f t="shared" si="1"/>
        <v>0</v>
      </c>
      <c r="N20" s="1">
        <f t="shared" si="1"/>
        <v>0</v>
      </c>
    </row>
    <row r="21" spans="2:14" x14ac:dyDescent="0.25">
      <c r="B21" s="10" t="s">
        <v>56</v>
      </c>
      <c r="C21" s="4">
        <f>SUM(C3,C6,C9,C12,C15)</f>
        <v>0</v>
      </c>
      <c r="D21" s="4">
        <f t="shared" ref="D21:N21" si="2">SUM(D3,D6,D9,D12,D15)</f>
        <v>0</v>
      </c>
      <c r="E21" s="4">
        <f t="shared" si="2"/>
        <v>0</v>
      </c>
      <c r="F21" s="4">
        <f t="shared" si="2"/>
        <v>4</v>
      </c>
      <c r="G21" s="4">
        <f t="shared" si="2"/>
        <v>4</v>
      </c>
      <c r="H21" s="4">
        <f t="shared" si="2"/>
        <v>5</v>
      </c>
      <c r="I21" s="4">
        <f t="shared" si="2"/>
        <v>5</v>
      </c>
      <c r="J21" s="4">
        <f t="shared" si="2"/>
        <v>4</v>
      </c>
      <c r="K21" s="4">
        <f t="shared" si="2"/>
        <v>3</v>
      </c>
      <c r="L21" s="4">
        <f t="shared" si="2"/>
        <v>1</v>
      </c>
      <c r="M21" s="4">
        <f t="shared" si="2"/>
        <v>0</v>
      </c>
      <c r="N21" s="4">
        <f t="shared" si="2"/>
        <v>0</v>
      </c>
    </row>
    <row r="22" spans="2:14" x14ac:dyDescent="0.25">
      <c r="B22" s="10"/>
      <c r="C22" s="4">
        <f t="shared" ref="C22" si="3">C21/5</f>
        <v>0</v>
      </c>
      <c r="D22" s="4">
        <f t="shared" ref="D22" si="4">D21/5</f>
        <v>0</v>
      </c>
      <c r="E22" s="4">
        <f t="shared" ref="E22" si="5">E21/5</f>
        <v>0</v>
      </c>
      <c r="F22" s="4">
        <f t="shared" ref="F22" si="6">F21/5</f>
        <v>0.8</v>
      </c>
      <c r="G22" s="4">
        <f t="shared" ref="G22" si="7">G21/5</f>
        <v>0.8</v>
      </c>
      <c r="H22" s="4">
        <f t="shared" ref="H22" si="8">H21/5</f>
        <v>1</v>
      </c>
      <c r="I22" s="4">
        <f t="shared" ref="I22" si="9">I21/5</f>
        <v>1</v>
      </c>
      <c r="J22" s="4">
        <f t="shared" ref="J22" si="10">J21/5</f>
        <v>0.8</v>
      </c>
      <c r="K22" s="4">
        <f t="shared" ref="K22" si="11">K21/5</f>
        <v>0.6</v>
      </c>
      <c r="L22" s="4">
        <f t="shared" ref="L22" si="12">L21/5</f>
        <v>0.2</v>
      </c>
      <c r="M22" s="4">
        <f t="shared" ref="M22" si="13">M21/5</f>
        <v>0</v>
      </c>
      <c r="N22" s="4">
        <f t="shared" ref="N22" si="14">N21/5</f>
        <v>0</v>
      </c>
    </row>
    <row r="23" spans="2:14" x14ac:dyDescent="0.25">
      <c r="B23" s="10" t="s">
        <v>57</v>
      </c>
      <c r="C23" s="1">
        <f>SUM(C4,C7,C10,C13,C16)</f>
        <v>0</v>
      </c>
      <c r="D23" s="1">
        <f t="shared" ref="D23:N23" si="15">SUM(D4,D7,D10,D13,D16)</f>
        <v>0</v>
      </c>
      <c r="E23" s="1">
        <f t="shared" si="15"/>
        <v>0</v>
      </c>
      <c r="F23" s="1">
        <f t="shared" si="15"/>
        <v>0</v>
      </c>
      <c r="G23" s="1">
        <f t="shared" si="15"/>
        <v>0</v>
      </c>
      <c r="H23" s="1">
        <f t="shared" si="15"/>
        <v>0</v>
      </c>
      <c r="I23" s="1">
        <f t="shared" si="15"/>
        <v>0</v>
      </c>
      <c r="J23" s="1">
        <f t="shared" si="15"/>
        <v>3</v>
      </c>
      <c r="K23" s="1">
        <f t="shared" si="15"/>
        <v>4</v>
      </c>
      <c r="L23" s="1">
        <f t="shared" si="15"/>
        <v>5</v>
      </c>
      <c r="M23" s="1">
        <f t="shared" si="15"/>
        <v>5</v>
      </c>
      <c r="N23" s="1">
        <f t="shared" si="15"/>
        <v>5</v>
      </c>
    </row>
    <row r="24" spans="2:14" x14ac:dyDescent="0.25">
      <c r="B24" s="10"/>
      <c r="C24" s="1">
        <f t="shared" ref="C24:H24" si="16">C23/5</f>
        <v>0</v>
      </c>
      <c r="D24" s="1">
        <f t="shared" si="16"/>
        <v>0</v>
      </c>
      <c r="E24" s="1">
        <f t="shared" si="16"/>
        <v>0</v>
      </c>
      <c r="F24" s="1">
        <f t="shared" si="16"/>
        <v>0</v>
      </c>
      <c r="G24" s="1">
        <f t="shared" si="16"/>
        <v>0</v>
      </c>
      <c r="H24" s="1">
        <f t="shared" si="16"/>
        <v>0</v>
      </c>
      <c r="I24" s="1">
        <f>I23/5</f>
        <v>0</v>
      </c>
      <c r="J24" s="1">
        <f t="shared" ref="J24:N24" si="17">J23/5</f>
        <v>0.6</v>
      </c>
      <c r="K24" s="1">
        <f t="shared" si="17"/>
        <v>0.8</v>
      </c>
      <c r="L24" s="1">
        <f t="shared" si="17"/>
        <v>1</v>
      </c>
      <c r="M24" s="1">
        <f t="shared" si="17"/>
        <v>1</v>
      </c>
      <c r="N24" s="1">
        <f t="shared" si="17"/>
        <v>1</v>
      </c>
    </row>
  </sheetData>
  <mergeCells count="8">
    <mergeCell ref="B19:B20"/>
    <mergeCell ref="B21:B22"/>
    <mergeCell ref="B23:B24"/>
    <mergeCell ref="A2:A4"/>
    <mergeCell ref="A5:A7"/>
    <mergeCell ref="A8:A10"/>
    <mergeCell ref="A11:A13"/>
    <mergeCell ref="A14:A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tabSelected="1" workbookViewId="0">
      <selection activeCell="H10" sqref="H10"/>
    </sheetView>
  </sheetViews>
  <sheetFormatPr defaultRowHeight="15" x14ac:dyDescent="0.25"/>
  <cols>
    <col min="1" max="1" width="2.85546875" bestFit="1" customWidth="1"/>
    <col min="2" max="2" width="8.5703125" bestFit="1" customWidth="1"/>
    <col min="3" max="3" width="3.7109375" bestFit="1" customWidth="1"/>
    <col min="4" max="4" width="4.7109375" bestFit="1" customWidth="1"/>
    <col min="5" max="13" width="5.7109375" bestFit="1" customWidth="1"/>
    <col min="14" max="14" width="6.7109375" bestFit="1" customWidth="1"/>
    <col min="15" max="15" width="12.5703125" bestFit="1" customWidth="1"/>
  </cols>
  <sheetData>
    <row r="1" spans="1:15" x14ac:dyDescent="0.25">
      <c r="A1" s="3" t="s">
        <v>0</v>
      </c>
      <c r="B1" s="4" t="s">
        <v>1</v>
      </c>
      <c r="C1" s="5" t="s">
        <v>49</v>
      </c>
      <c r="D1" s="5" t="s">
        <v>48</v>
      </c>
      <c r="E1" s="5" t="s">
        <v>47</v>
      </c>
      <c r="F1" s="5" t="s">
        <v>46</v>
      </c>
      <c r="G1" s="5" t="s">
        <v>45</v>
      </c>
      <c r="H1" s="5" t="s">
        <v>44</v>
      </c>
      <c r="I1" s="5" t="s">
        <v>43</v>
      </c>
      <c r="J1" s="5" t="s">
        <v>42</v>
      </c>
      <c r="K1" s="5" t="s">
        <v>41</v>
      </c>
      <c r="L1" s="5" t="s">
        <v>40</v>
      </c>
      <c r="M1" s="5" t="s">
        <v>39</v>
      </c>
      <c r="N1" s="5" t="s">
        <v>38</v>
      </c>
      <c r="O1" s="9" t="s">
        <v>61</v>
      </c>
    </row>
    <row r="2" spans="1:15" x14ac:dyDescent="0.25">
      <c r="A2" s="10" t="s">
        <v>18</v>
      </c>
      <c r="B2" s="1" t="s">
        <v>63</v>
      </c>
      <c r="C2" s="1">
        <v>1</v>
      </c>
      <c r="D2" s="1">
        <v>1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5" x14ac:dyDescent="0.25">
      <c r="A3" s="10"/>
      <c r="B3" s="1" t="s">
        <v>25</v>
      </c>
      <c r="C3" s="1">
        <v>0</v>
      </c>
      <c r="D3" s="1">
        <v>0</v>
      </c>
      <c r="E3" s="1">
        <v>0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0</v>
      </c>
      <c r="L3" s="1">
        <v>0</v>
      </c>
      <c r="M3" s="1">
        <v>0</v>
      </c>
      <c r="N3" s="1">
        <v>0</v>
      </c>
    </row>
    <row r="4" spans="1:15" x14ac:dyDescent="0.25">
      <c r="A4" s="10"/>
      <c r="B4" s="1" t="s">
        <v>23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1</v>
      </c>
      <c r="M4" s="1">
        <v>1</v>
      </c>
      <c r="N4" s="1">
        <v>1</v>
      </c>
    </row>
    <row r="5" spans="1:15" x14ac:dyDescent="0.25">
      <c r="A5" s="10" t="s">
        <v>19</v>
      </c>
      <c r="B5" s="4" t="s">
        <v>63</v>
      </c>
      <c r="C5" s="4">
        <v>1</v>
      </c>
      <c r="D5" s="4">
        <v>1</v>
      </c>
      <c r="E5" s="4">
        <v>1</v>
      </c>
      <c r="F5" s="4">
        <v>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5" x14ac:dyDescent="0.25">
      <c r="A6" s="10"/>
      <c r="B6" s="4" t="s">
        <v>25</v>
      </c>
      <c r="C6" s="4">
        <v>0</v>
      </c>
      <c r="D6" s="4">
        <v>0</v>
      </c>
      <c r="E6" s="4">
        <v>0</v>
      </c>
      <c r="F6" s="4">
        <v>0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0</v>
      </c>
      <c r="M6" s="4">
        <v>0</v>
      </c>
      <c r="N6" s="4">
        <v>0</v>
      </c>
    </row>
    <row r="7" spans="1:15" x14ac:dyDescent="0.25">
      <c r="A7" s="10"/>
      <c r="B7" s="4" t="s">
        <v>23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  <c r="L7" s="4">
        <v>1</v>
      </c>
      <c r="M7" s="4">
        <v>1</v>
      </c>
      <c r="N7" s="4">
        <v>1</v>
      </c>
    </row>
    <row r="8" spans="1:15" x14ac:dyDescent="0.25">
      <c r="A8" s="10" t="s">
        <v>20</v>
      </c>
      <c r="B8" s="1" t="s">
        <v>63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5" x14ac:dyDescent="0.25">
      <c r="A9" s="10"/>
      <c r="B9" s="1" t="s">
        <v>25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1</v>
      </c>
      <c r="J9" s="1">
        <v>1</v>
      </c>
      <c r="K9" s="1">
        <v>1</v>
      </c>
      <c r="L9" s="1">
        <v>0</v>
      </c>
      <c r="M9" s="1">
        <v>0</v>
      </c>
      <c r="N9" s="1">
        <v>0</v>
      </c>
    </row>
    <row r="10" spans="1:15" x14ac:dyDescent="0.25">
      <c r="A10" s="10"/>
      <c r="B10" s="1" t="s">
        <v>23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1</v>
      </c>
      <c r="N10" s="1">
        <v>1</v>
      </c>
    </row>
    <row r="11" spans="1:15" x14ac:dyDescent="0.25">
      <c r="A11" s="10" t="s">
        <v>21</v>
      </c>
      <c r="B11" s="4" t="s">
        <v>63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2" spans="1:15" x14ac:dyDescent="0.25">
      <c r="A12" s="10"/>
      <c r="B12" s="4" t="s">
        <v>25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1</v>
      </c>
      <c r="J12" s="4">
        <v>1</v>
      </c>
      <c r="K12" s="4">
        <v>1</v>
      </c>
      <c r="L12" s="4">
        <v>0</v>
      </c>
      <c r="M12" s="4">
        <v>0</v>
      </c>
      <c r="N12" s="4">
        <v>0</v>
      </c>
    </row>
    <row r="13" spans="1:15" x14ac:dyDescent="0.25">
      <c r="A13" s="10"/>
      <c r="B13" s="4" t="s">
        <v>23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1</v>
      </c>
      <c r="M13" s="4">
        <v>1</v>
      </c>
      <c r="N13" s="4">
        <v>1</v>
      </c>
    </row>
    <row r="14" spans="1:15" x14ac:dyDescent="0.25">
      <c r="A14" s="10" t="s">
        <v>22</v>
      </c>
      <c r="B14" s="1" t="s">
        <v>63</v>
      </c>
      <c r="C14" s="1">
        <v>1</v>
      </c>
      <c r="D14" s="1">
        <v>1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5" x14ac:dyDescent="0.25">
      <c r="A15" s="10"/>
      <c r="B15" s="1" t="s">
        <v>25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</row>
    <row r="16" spans="1:15" x14ac:dyDescent="0.25">
      <c r="A16" s="10"/>
      <c r="B16" s="1" t="s">
        <v>23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1</v>
      </c>
      <c r="N16" s="1">
        <v>1</v>
      </c>
    </row>
    <row r="18" spans="2:14" x14ac:dyDescent="0.25">
      <c r="B18" s="4" t="s">
        <v>1</v>
      </c>
      <c r="C18" s="5" t="s">
        <v>49</v>
      </c>
      <c r="D18" s="5" t="s">
        <v>48</v>
      </c>
      <c r="E18" s="5" t="s">
        <v>47</v>
      </c>
      <c r="F18" s="5" t="s">
        <v>46</v>
      </c>
      <c r="G18" s="5" t="s">
        <v>45</v>
      </c>
      <c r="H18" s="5" t="s">
        <v>44</v>
      </c>
      <c r="I18" s="5" t="s">
        <v>43</v>
      </c>
      <c r="J18" s="5" t="s">
        <v>42</v>
      </c>
      <c r="K18" s="5" t="s">
        <v>41</v>
      </c>
      <c r="L18" s="5" t="s">
        <v>40</v>
      </c>
      <c r="M18" s="5" t="s">
        <v>39</v>
      </c>
      <c r="N18" s="5" t="s">
        <v>38</v>
      </c>
    </row>
    <row r="19" spans="2:14" x14ac:dyDescent="0.25">
      <c r="B19" s="10" t="s">
        <v>64</v>
      </c>
      <c r="C19" s="1">
        <f>SUM(C2,C5,C8,C11,C14)</f>
        <v>5</v>
      </c>
      <c r="D19" s="1">
        <f t="shared" ref="D19:N19" si="0">SUM(D2,D5,D8,D11,D14)</f>
        <v>5</v>
      </c>
      <c r="E19" s="1">
        <f t="shared" si="0"/>
        <v>5</v>
      </c>
      <c r="F19" s="1">
        <f t="shared" si="0"/>
        <v>4</v>
      </c>
      <c r="G19" s="1">
        <f t="shared" si="0"/>
        <v>2</v>
      </c>
      <c r="H19" s="1">
        <f t="shared" si="0"/>
        <v>1</v>
      </c>
      <c r="I19" s="1">
        <f t="shared" si="0"/>
        <v>0</v>
      </c>
      <c r="J19" s="1">
        <f t="shared" si="0"/>
        <v>0</v>
      </c>
      <c r="K19" s="1">
        <f t="shared" si="0"/>
        <v>0</v>
      </c>
      <c r="L19" s="1">
        <f t="shared" si="0"/>
        <v>0</v>
      </c>
      <c r="M19" s="1">
        <f t="shared" si="0"/>
        <v>0</v>
      </c>
      <c r="N19" s="1">
        <f t="shared" si="0"/>
        <v>0</v>
      </c>
    </row>
    <row r="20" spans="2:14" x14ac:dyDescent="0.25">
      <c r="B20" s="10"/>
      <c r="C20" s="1">
        <f>C19/5</f>
        <v>1</v>
      </c>
      <c r="D20" s="1">
        <f t="shared" ref="D20:N20" si="1">D19/5</f>
        <v>1</v>
      </c>
      <c r="E20" s="1">
        <f t="shared" si="1"/>
        <v>1</v>
      </c>
      <c r="F20" s="1">
        <f t="shared" si="1"/>
        <v>0.8</v>
      </c>
      <c r="G20" s="1">
        <f t="shared" si="1"/>
        <v>0.4</v>
      </c>
      <c r="H20" s="1">
        <f t="shared" si="1"/>
        <v>0.2</v>
      </c>
      <c r="I20" s="1">
        <f t="shared" si="1"/>
        <v>0</v>
      </c>
      <c r="J20" s="1">
        <f t="shared" si="1"/>
        <v>0</v>
      </c>
      <c r="K20" s="1">
        <f t="shared" si="1"/>
        <v>0</v>
      </c>
      <c r="L20" s="1">
        <f t="shared" si="1"/>
        <v>0</v>
      </c>
      <c r="M20" s="1">
        <f t="shared" si="1"/>
        <v>0</v>
      </c>
      <c r="N20" s="1">
        <f t="shared" si="1"/>
        <v>0</v>
      </c>
    </row>
    <row r="21" spans="2:14" x14ac:dyDescent="0.25">
      <c r="B21" s="10" t="s">
        <v>54</v>
      </c>
      <c r="C21" s="4">
        <f>SUM(C3,C6,C9,C12,C15)</f>
        <v>0</v>
      </c>
      <c r="D21" s="4">
        <f t="shared" ref="D21:N21" si="2">SUM(D3,D6,D9,D12,D15)</f>
        <v>0</v>
      </c>
      <c r="E21" s="4">
        <f t="shared" si="2"/>
        <v>0</v>
      </c>
      <c r="F21" s="4">
        <f t="shared" si="2"/>
        <v>1</v>
      </c>
      <c r="G21" s="4">
        <f t="shared" si="2"/>
        <v>2</v>
      </c>
      <c r="H21" s="4">
        <f t="shared" si="2"/>
        <v>5</v>
      </c>
      <c r="I21" s="4">
        <f t="shared" si="2"/>
        <v>5</v>
      </c>
      <c r="J21" s="4">
        <f t="shared" si="2"/>
        <v>5</v>
      </c>
      <c r="K21" s="4">
        <f t="shared" si="2"/>
        <v>4</v>
      </c>
      <c r="L21" s="4">
        <f t="shared" si="2"/>
        <v>1</v>
      </c>
      <c r="M21" s="4">
        <f t="shared" si="2"/>
        <v>0</v>
      </c>
      <c r="N21" s="4">
        <f t="shared" si="2"/>
        <v>0</v>
      </c>
    </row>
    <row r="22" spans="2:14" x14ac:dyDescent="0.25">
      <c r="B22" s="10"/>
      <c r="C22" s="4">
        <f t="shared" ref="C22:E22" si="3">C21/5</f>
        <v>0</v>
      </c>
      <c r="D22" s="4">
        <f t="shared" si="3"/>
        <v>0</v>
      </c>
      <c r="E22" s="4">
        <f t="shared" si="3"/>
        <v>0</v>
      </c>
      <c r="F22" s="4">
        <f t="shared" ref="F22:N22" si="4">F21/5</f>
        <v>0.2</v>
      </c>
      <c r="G22" s="4">
        <f t="shared" si="4"/>
        <v>0.4</v>
      </c>
      <c r="H22" s="4">
        <f t="shared" si="4"/>
        <v>1</v>
      </c>
      <c r="I22" s="4">
        <f t="shared" si="4"/>
        <v>1</v>
      </c>
      <c r="J22" s="4">
        <f t="shared" si="4"/>
        <v>1</v>
      </c>
      <c r="K22" s="4">
        <f t="shared" si="4"/>
        <v>0.8</v>
      </c>
      <c r="L22" s="4">
        <f t="shared" si="4"/>
        <v>0.2</v>
      </c>
      <c r="M22" s="4">
        <f t="shared" si="4"/>
        <v>0</v>
      </c>
      <c r="N22" s="4">
        <f t="shared" si="4"/>
        <v>0</v>
      </c>
    </row>
    <row r="23" spans="2:14" x14ac:dyDescent="0.25">
      <c r="B23" s="10" t="s">
        <v>55</v>
      </c>
      <c r="C23" s="1">
        <f>SUM(C4,C7,C10,C13,C16)</f>
        <v>0</v>
      </c>
      <c r="D23" s="1">
        <f t="shared" ref="D23:N23" si="5">SUM(D4,D7,D10,D13,D16)</f>
        <v>0</v>
      </c>
      <c r="E23" s="1">
        <f t="shared" si="5"/>
        <v>0</v>
      </c>
      <c r="F23" s="1">
        <f t="shared" si="5"/>
        <v>0</v>
      </c>
      <c r="G23" s="1">
        <f t="shared" si="5"/>
        <v>0</v>
      </c>
      <c r="H23" s="1">
        <f t="shared" si="5"/>
        <v>0</v>
      </c>
      <c r="I23" s="1">
        <f t="shared" si="5"/>
        <v>0</v>
      </c>
      <c r="J23" s="1">
        <f t="shared" si="5"/>
        <v>0</v>
      </c>
      <c r="K23" s="1">
        <f t="shared" si="5"/>
        <v>2</v>
      </c>
      <c r="L23" s="1">
        <f t="shared" si="5"/>
        <v>5</v>
      </c>
      <c r="M23" s="1">
        <f t="shared" si="5"/>
        <v>5</v>
      </c>
      <c r="N23" s="1">
        <f t="shared" si="5"/>
        <v>5</v>
      </c>
    </row>
    <row r="24" spans="2:14" x14ac:dyDescent="0.25">
      <c r="B24" s="10"/>
      <c r="C24" s="1">
        <f t="shared" ref="C24:J24" si="6">C23/5</f>
        <v>0</v>
      </c>
      <c r="D24" s="1">
        <f t="shared" si="6"/>
        <v>0</v>
      </c>
      <c r="E24" s="1">
        <f t="shared" si="6"/>
        <v>0</v>
      </c>
      <c r="F24" s="1">
        <f t="shared" si="6"/>
        <v>0</v>
      </c>
      <c r="G24" s="1">
        <f t="shared" si="6"/>
        <v>0</v>
      </c>
      <c r="H24" s="1">
        <f t="shared" si="6"/>
        <v>0</v>
      </c>
      <c r="I24" s="1">
        <f t="shared" si="6"/>
        <v>0</v>
      </c>
      <c r="J24" s="1">
        <f t="shared" si="6"/>
        <v>0</v>
      </c>
      <c r="K24" s="1">
        <f t="shared" ref="K24:N24" si="7">K23/5</f>
        <v>0.4</v>
      </c>
      <c r="L24" s="1">
        <f t="shared" si="7"/>
        <v>1</v>
      </c>
      <c r="M24" s="1">
        <f t="shared" si="7"/>
        <v>1</v>
      </c>
      <c r="N24" s="1">
        <f t="shared" si="7"/>
        <v>1</v>
      </c>
    </row>
  </sheetData>
  <mergeCells count="8">
    <mergeCell ref="B19:B20"/>
    <mergeCell ref="B21:B22"/>
    <mergeCell ref="B23:B24"/>
    <mergeCell ref="A2:A4"/>
    <mergeCell ref="A5:A7"/>
    <mergeCell ref="A8:A10"/>
    <mergeCell ref="A11:A13"/>
    <mergeCell ref="A14:A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Возраст</vt:lpstr>
      <vt:lpstr>Кредитная история</vt:lpstr>
      <vt:lpstr>Уровень жизни</vt:lpstr>
      <vt:lpstr>Вероятноть кредита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Кваша Виктория Валерьевна</dc:creator>
  <cp:lastModifiedBy>Кваша Виктория Валерьевна</cp:lastModifiedBy>
  <dcterms:created xsi:type="dcterms:W3CDTF">2025-11-10T11:15:56Z</dcterms:created>
  <dcterms:modified xsi:type="dcterms:W3CDTF">2025-11-24T12:11:43Z</dcterms:modified>
</cp:coreProperties>
</file>