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3A6A3492-9E8D-4ADD-8817-A658ED5A133B}" xr6:coauthVersionLast="36" xr6:coauthVersionMax="36" xr10:uidLastSave="{00000000-0000-0000-0000-000000000000}"/>
  <bookViews>
    <workbookView xWindow="0" yWindow="0" windowWidth="28800" windowHeight="12225" xr2:uid="{0C6E801A-814F-4CCC-B9D2-C1C8A8C1159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5" i="1" l="1"/>
  <c r="U15" i="1" s="1"/>
  <c r="Q13" i="1"/>
  <c r="U13" i="1" s="1"/>
  <c r="Q14" i="1"/>
  <c r="U14" i="1" s="1"/>
  <c r="Y13" i="1" l="1"/>
  <c r="U16" i="1"/>
  <c r="U17" i="1"/>
  <c r="U18" i="1"/>
  <c r="U19" i="1"/>
  <c r="Y14" i="1"/>
  <c r="AC14" i="1" s="1"/>
  <c r="Q16" i="1"/>
  <c r="Q17" i="1"/>
  <c r="Q18" i="1"/>
  <c r="Q19" i="1"/>
  <c r="Y16" i="1" l="1"/>
  <c r="AC16" i="1" s="1"/>
  <c r="Y19" i="1"/>
  <c r="AC19" i="1" s="1"/>
  <c r="Y15" i="1"/>
  <c r="AC15" i="1" s="1"/>
  <c r="Y17" i="1"/>
  <c r="AC17" i="1" s="1"/>
  <c r="AC13" i="1"/>
  <c r="Y18" i="1"/>
  <c r="AC18" i="1" s="1"/>
  <c r="C23" i="1"/>
  <c r="C24" i="1" s="1"/>
  <c r="E23" i="1"/>
  <c r="E24" i="1" s="1"/>
  <c r="F23" i="1"/>
  <c r="F24" i="1" s="1"/>
  <c r="G23" i="1"/>
  <c r="G24" i="1" s="1"/>
  <c r="H23" i="1"/>
  <c r="H24" i="1" s="1"/>
  <c r="I23" i="1"/>
  <c r="I24" i="1" s="1"/>
  <c r="D23" i="1"/>
  <c r="D24" i="1" s="1"/>
  <c r="D21" i="1"/>
  <c r="D22" i="1" s="1"/>
  <c r="E21" i="1"/>
  <c r="E22" i="1" s="1"/>
  <c r="F21" i="1"/>
  <c r="F22" i="1" s="1"/>
  <c r="G21" i="1"/>
  <c r="G22" i="1" s="1"/>
  <c r="H21" i="1"/>
  <c r="H22" i="1" s="1"/>
  <c r="I21" i="1"/>
  <c r="I22" i="1" s="1"/>
  <c r="C21" i="1"/>
  <c r="C22" i="1" s="1"/>
  <c r="E19" i="1"/>
  <c r="E20" i="1" s="1"/>
  <c r="F19" i="1"/>
  <c r="F20" i="1" s="1"/>
  <c r="G19" i="1"/>
  <c r="G20" i="1" s="1"/>
  <c r="H19" i="1"/>
  <c r="H20" i="1" s="1"/>
  <c r="I19" i="1"/>
  <c r="I20" i="1" s="1"/>
  <c r="D19" i="1"/>
  <c r="D20" i="1" s="1"/>
  <c r="C19" i="1"/>
  <c r="C20" i="1" s="1"/>
</calcChain>
</file>

<file path=xl/sharedStrings.xml><?xml version="1.0" encoding="utf-8"?>
<sst xmlns="http://schemas.openxmlformats.org/spreadsheetml/2006/main" count="186" uniqueCount="25">
  <si>
    <t>k</t>
  </si>
  <si>
    <t>термы</t>
  </si>
  <si>
    <t>40-50</t>
  </si>
  <si>
    <t>61-70</t>
  </si>
  <si>
    <t>71-80</t>
  </si>
  <si>
    <t>81-90</t>
  </si>
  <si>
    <t>91-100</t>
  </si>
  <si>
    <t>101-110</t>
  </si>
  <si>
    <t>51-60</t>
  </si>
  <si>
    <t>Эксперт 1</t>
  </si>
  <si>
    <t>низкий</t>
  </si>
  <si>
    <t>средний</t>
  </si>
  <si>
    <t>высокий</t>
  </si>
  <si>
    <t xml:space="preserve"> </t>
  </si>
  <si>
    <t xml:space="preserve"> Эксперт 5</t>
  </si>
  <si>
    <t xml:space="preserve"> эксперт 2</t>
  </si>
  <si>
    <t xml:space="preserve"> эксперт 3</t>
  </si>
  <si>
    <t xml:space="preserve"> эксперт 4</t>
  </si>
  <si>
    <t>hmax:</t>
  </si>
  <si>
    <t>нормализованные веса:</t>
  </si>
  <si>
    <t xml:space="preserve"> w=</t>
  </si>
  <si>
    <t xml:space="preserve"> w`=</t>
  </si>
  <si>
    <t>A*w=</t>
  </si>
  <si>
    <t>h=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</si>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</sst>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Fill="1" applyBorder="1"/>
    <xf numFmtId="0" fontId="0" fillId="0" borderId="6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1" xfId="0" applyBorder="1"/>
    <xf numFmtId="0" fontId="0" fillId="0" borderId="10" xfId="0" applyBorder="1"/>
    <xf numFmtId="2" fontId="0" fillId="0" borderId="0" xfId="0" applyNumberFormat="1" applyBorder="1"/>
    <xf numFmtId="2" fontId="0" fillId="0" borderId="4" xfId="0" applyNumberFormat="1" applyBorder="1"/>
    <xf numFmtId="2" fontId="0" fillId="0" borderId="7" xfId="0" applyNumberForma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5" xfId="0" applyNumberFormat="1" applyBorder="1"/>
    <xf numFmtId="13" fontId="0" fillId="0" borderId="8" xfId="0" applyNumberFormat="1" applyBorder="1"/>
    <xf numFmtId="13" fontId="0" fillId="0" borderId="0" xfId="0" applyNumberFormat="1" applyBorder="1"/>
    <xf numFmtId="13" fontId="0" fillId="0" borderId="9" xfId="0" applyNumberFormat="1" applyBorder="1"/>
    <xf numFmtId="13" fontId="0" fillId="0" borderId="1" xfId="0" applyNumberFormat="1" applyBorder="1"/>
    <xf numFmtId="2" fontId="0" fillId="0" borderId="0" xfId="0" applyNumberFormat="1"/>
    <xf numFmtId="2" fontId="0" fillId="0" borderId="2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Лист1!$Q$23:$Q$29</c:f>
              <c:numCache>
                <c:formatCode>General</c:formatCode>
                <c:ptCount val="7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110</c:v>
                </c:pt>
              </c:numCache>
            </c:numRef>
          </c:xVal>
          <c:yVal>
            <c:numRef>
              <c:f>Лист1!$R$23:$R$29</c:f>
              <c:numCache>
                <c:formatCode>0.00</c:formatCode>
                <c:ptCount val="7"/>
                <c:pt idx="0">
                  <c:v>4.7845804988662137E-2</c:v>
                </c:pt>
                <c:pt idx="1">
                  <c:v>0.11695956160241873</c:v>
                </c:pt>
                <c:pt idx="2">
                  <c:v>0.2390873015873016</c:v>
                </c:pt>
                <c:pt idx="3">
                  <c:v>0.37324263038548749</c:v>
                </c:pt>
                <c:pt idx="4">
                  <c:v>0.58412698412698405</c:v>
                </c:pt>
                <c:pt idx="5">
                  <c:v>0.76984126984126988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81-4BE8-ABE0-73F5E1C2179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Лист1!$Q$23:$Q$29</c:f>
              <c:numCache>
                <c:formatCode>General</c:formatCode>
                <c:ptCount val="7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110</c:v>
                </c:pt>
              </c:numCache>
            </c:numRef>
          </c:xVal>
          <c:yVal>
            <c:numRef>
              <c:f>Лист1!$S$23:$S$29</c:f>
              <c:numCache>
                <c:formatCode>0.00</c:formatCode>
                <c:ptCount val="7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81-4BE8-ABE0-73F5E1C21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493007"/>
        <c:axId val="1726468863"/>
      </c:scatterChart>
      <c:valAx>
        <c:axId val="1721493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6468863"/>
        <c:crosses val="autoZero"/>
        <c:crossBetween val="midCat"/>
      </c:valAx>
      <c:valAx>
        <c:axId val="17264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1493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588307</xdr:colOff>
      <xdr:row>21</xdr:row>
      <xdr:rowOff>169207</xdr:rowOff>
    </xdr:from>
    <xdr:to>
      <xdr:col>31</xdr:col>
      <xdr:colOff>0</xdr:colOff>
      <xdr:row>39</xdr:row>
      <xdr:rowOff>89647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7EC5C67-5897-4727-9F10-8A263BF32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E4365-C638-44C1-B459-BB31E386A1FA}">
  <dimension ref="A1:AD29"/>
  <sheetViews>
    <sheetView tabSelected="1" topLeftCell="A6" zoomScale="85" zoomScaleNormal="85" workbookViewId="0">
      <selection activeCell="Q35" sqref="Q35"/>
    </sheetView>
  </sheetViews>
  <sheetFormatPr defaultRowHeight="15" x14ac:dyDescent="0.25"/>
  <sheetData>
    <row r="1" spans="1:30" x14ac:dyDescent="0.25">
      <c r="A1" t="s">
        <v>0</v>
      </c>
      <c r="B1" t="s">
        <v>1</v>
      </c>
      <c r="C1" s="4" t="s">
        <v>2</v>
      </c>
      <c r="D1" s="5" t="s">
        <v>8</v>
      </c>
      <c r="E1" s="5" t="s">
        <v>3</v>
      </c>
      <c r="F1" s="5" t="s">
        <v>4</v>
      </c>
      <c r="G1" s="5" t="s">
        <v>5</v>
      </c>
      <c r="H1" s="5" t="s">
        <v>6</v>
      </c>
      <c r="I1" s="6" t="s">
        <v>7</v>
      </c>
      <c r="N1" s="4" t="s">
        <v>2</v>
      </c>
      <c r="O1" s="5" t="s">
        <v>8</v>
      </c>
      <c r="P1" s="5" t="s">
        <v>3</v>
      </c>
      <c r="Q1" s="5" t="s">
        <v>4</v>
      </c>
      <c r="R1" s="5" t="s">
        <v>5</v>
      </c>
      <c r="S1" s="5" t="s">
        <v>6</v>
      </c>
      <c r="T1" s="6" t="s">
        <v>7</v>
      </c>
    </row>
    <row r="2" spans="1:30" x14ac:dyDescent="0.25">
      <c r="A2" s="30" t="s">
        <v>9</v>
      </c>
      <c r="B2" s="1" t="s">
        <v>10</v>
      </c>
      <c r="C2" s="7">
        <v>1</v>
      </c>
      <c r="D2" s="8">
        <v>1</v>
      </c>
      <c r="E2" s="8">
        <v>0</v>
      </c>
      <c r="F2" s="8">
        <v>0</v>
      </c>
      <c r="G2" s="8">
        <v>0</v>
      </c>
      <c r="H2" s="8">
        <v>0</v>
      </c>
      <c r="I2" s="9">
        <v>0</v>
      </c>
      <c r="M2" s="11" t="s">
        <v>2</v>
      </c>
      <c r="N2" s="19">
        <v>1</v>
      </c>
      <c r="O2" s="23">
        <v>0.33333333333333331</v>
      </c>
      <c r="P2" s="24">
        <v>0.2</v>
      </c>
      <c r="Q2" s="24">
        <v>0.14285714285714285</v>
      </c>
      <c r="R2" s="24">
        <v>0.1111111111111111</v>
      </c>
      <c r="S2" s="24">
        <v>0.1111111111111111</v>
      </c>
      <c r="T2" s="25">
        <v>0.1111111111111111</v>
      </c>
    </row>
    <row r="3" spans="1:30" x14ac:dyDescent="0.25">
      <c r="A3" s="30"/>
      <c r="B3" s="1" t="s">
        <v>11</v>
      </c>
      <c r="C3" s="2">
        <v>0</v>
      </c>
      <c r="D3" s="3">
        <v>1</v>
      </c>
      <c r="E3" s="3">
        <v>1</v>
      </c>
      <c r="F3" s="3">
        <v>1</v>
      </c>
      <c r="G3" s="10">
        <v>0</v>
      </c>
      <c r="H3" s="10">
        <v>0</v>
      </c>
      <c r="I3" s="1">
        <v>0</v>
      </c>
      <c r="M3" s="15" t="s">
        <v>8</v>
      </c>
      <c r="N3" s="20">
        <v>3</v>
      </c>
      <c r="O3" s="17">
        <v>1</v>
      </c>
      <c r="P3" s="24">
        <v>0.33333333333333331</v>
      </c>
      <c r="Q3" s="24">
        <v>0.2</v>
      </c>
      <c r="R3" s="24">
        <v>0.14285714285714285</v>
      </c>
      <c r="S3" s="24">
        <v>0.125</v>
      </c>
      <c r="T3" s="26">
        <v>0.1111111111111111</v>
      </c>
    </row>
    <row r="4" spans="1:30" x14ac:dyDescent="0.25">
      <c r="A4" s="30"/>
      <c r="B4" s="1" t="s">
        <v>12</v>
      </c>
      <c r="C4" s="4">
        <v>0</v>
      </c>
      <c r="D4" s="5">
        <v>0</v>
      </c>
      <c r="E4" s="5">
        <v>0</v>
      </c>
      <c r="F4" s="5">
        <v>0</v>
      </c>
      <c r="G4" s="5">
        <v>1</v>
      </c>
      <c r="H4" s="5">
        <v>1</v>
      </c>
      <c r="I4" s="6">
        <v>1</v>
      </c>
      <c r="M4" s="15" t="s">
        <v>3</v>
      </c>
      <c r="N4" s="20">
        <v>5</v>
      </c>
      <c r="O4">
        <v>3</v>
      </c>
      <c r="P4" s="17">
        <v>1</v>
      </c>
      <c r="Q4" s="24">
        <v>0.5</v>
      </c>
      <c r="R4" s="24">
        <v>0.25</v>
      </c>
      <c r="S4" s="24">
        <v>0.16666666666666666</v>
      </c>
      <c r="T4" s="26">
        <v>0.125</v>
      </c>
    </row>
    <row r="5" spans="1:30" x14ac:dyDescent="0.25">
      <c r="A5" s="30" t="s">
        <v>15</v>
      </c>
      <c r="B5" s="1" t="s">
        <v>10</v>
      </c>
      <c r="C5" s="2">
        <v>1</v>
      </c>
      <c r="D5" s="10">
        <v>1</v>
      </c>
      <c r="E5" s="10">
        <v>1</v>
      </c>
      <c r="F5" s="10">
        <v>0</v>
      </c>
      <c r="G5" s="10">
        <v>0</v>
      </c>
      <c r="H5" s="10">
        <v>0</v>
      </c>
      <c r="I5" s="1">
        <v>0</v>
      </c>
      <c r="M5" s="15" t="s">
        <v>4</v>
      </c>
      <c r="N5" s="20">
        <v>7</v>
      </c>
      <c r="O5">
        <v>5</v>
      </c>
      <c r="P5" s="17">
        <v>2</v>
      </c>
      <c r="Q5" s="17">
        <v>1</v>
      </c>
      <c r="R5" s="24">
        <v>0.33333333333333331</v>
      </c>
      <c r="S5" s="24">
        <v>0.2</v>
      </c>
      <c r="T5" s="26">
        <v>0.14285714285714285</v>
      </c>
    </row>
    <row r="6" spans="1:30" x14ac:dyDescent="0.25">
      <c r="A6" s="30"/>
      <c r="B6" s="1" t="s">
        <v>11</v>
      </c>
      <c r="C6" s="2">
        <v>0</v>
      </c>
      <c r="D6" s="10">
        <v>0</v>
      </c>
      <c r="E6" s="10">
        <v>0</v>
      </c>
      <c r="F6" s="10">
        <v>1</v>
      </c>
      <c r="G6" s="10">
        <v>0</v>
      </c>
      <c r="H6" s="10">
        <v>0</v>
      </c>
      <c r="I6" s="1">
        <v>0</v>
      </c>
      <c r="M6" s="15" t="s">
        <v>5</v>
      </c>
      <c r="N6" s="20">
        <v>9</v>
      </c>
      <c r="O6">
        <v>7</v>
      </c>
      <c r="P6" s="17">
        <v>4</v>
      </c>
      <c r="Q6" s="17">
        <v>3</v>
      </c>
      <c r="R6" s="17">
        <v>1</v>
      </c>
      <c r="S6" s="24">
        <v>0.33333333333333331</v>
      </c>
      <c r="T6" s="26">
        <v>0.2</v>
      </c>
    </row>
    <row r="7" spans="1:30" x14ac:dyDescent="0.25">
      <c r="A7" s="30"/>
      <c r="B7" s="1" t="s">
        <v>12</v>
      </c>
      <c r="C7" s="4">
        <v>0</v>
      </c>
      <c r="D7" s="5">
        <v>0</v>
      </c>
      <c r="E7" s="5">
        <v>0</v>
      </c>
      <c r="F7" s="5">
        <v>0</v>
      </c>
      <c r="G7" s="5">
        <v>1</v>
      </c>
      <c r="H7" s="5">
        <v>1</v>
      </c>
      <c r="I7" s="6">
        <v>1</v>
      </c>
      <c r="M7" s="15" t="s">
        <v>6</v>
      </c>
      <c r="N7" s="20">
        <v>9</v>
      </c>
      <c r="O7">
        <v>8</v>
      </c>
      <c r="P7" s="17">
        <v>6</v>
      </c>
      <c r="Q7" s="17">
        <v>5</v>
      </c>
      <c r="R7" s="17">
        <v>3</v>
      </c>
      <c r="S7" s="17">
        <v>1</v>
      </c>
      <c r="T7" s="26">
        <v>0.33333333333333331</v>
      </c>
    </row>
    <row r="8" spans="1:30" x14ac:dyDescent="0.25">
      <c r="A8" s="30" t="s">
        <v>16</v>
      </c>
      <c r="B8" s="1" t="s">
        <v>10</v>
      </c>
      <c r="C8" s="2">
        <v>1</v>
      </c>
      <c r="D8" s="10">
        <v>1</v>
      </c>
      <c r="E8" s="10">
        <v>1</v>
      </c>
      <c r="F8" s="10">
        <v>0</v>
      </c>
      <c r="G8" s="10">
        <v>0</v>
      </c>
      <c r="H8" s="10">
        <v>0</v>
      </c>
      <c r="I8" s="1">
        <v>0</v>
      </c>
      <c r="M8" s="16" t="s">
        <v>7</v>
      </c>
      <c r="N8" s="21">
        <v>9</v>
      </c>
      <c r="O8" s="18">
        <v>9</v>
      </c>
      <c r="P8" s="18">
        <v>8</v>
      </c>
      <c r="Q8" s="18">
        <v>7</v>
      </c>
      <c r="R8" s="18">
        <v>5</v>
      </c>
      <c r="S8" s="18">
        <v>3</v>
      </c>
      <c r="T8" s="22">
        <v>1</v>
      </c>
    </row>
    <row r="9" spans="1:30" x14ac:dyDescent="0.25">
      <c r="A9" s="30"/>
      <c r="B9" s="1" t="s">
        <v>11</v>
      </c>
      <c r="C9" s="2">
        <v>0</v>
      </c>
      <c r="D9" s="10">
        <v>0</v>
      </c>
      <c r="E9" s="3">
        <v>1</v>
      </c>
      <c r="F9" s="3">
        <v>1</v>
      </c>
      <c r="G9" s="3">
        <v>1</v>
      </c>
      <c r="H9" s="10">
        <v>0</v>
      </c>
      <c r="I9" s="1">
        <v>0</v>
      </c>
    </row>
    <row r="10" spans="1:30" x14ac:dyDescent="0.25">
      <c r="A10" s="30"/>
      <c r="B10" s="1" t="s">
        <v>12</v>
      </c>
      <c r="C10" s="4">
        <v>0</v>
      </c>
      <c r="D10" s="5">
        <v>0</v>
      </c>
      <c r="E10" s="5">
        <v>0</v>
      </c>
      <c r="F10" s="5">
        <v>0</v>
      </c>
      <c r="G10" s="5">
        <v>1</v>
      </c>
      <c r="H10" s="5">
        <v>1</v>
      </c>
      <c r="I10" s="6">
        <v>1</v>
      </c>
    </row>
    <row r="11" spans="1:30" x14ac:dyDescent="0.25">
      <c r="A11" s="30" t="s">
        <v>17</v>
      </c>
      <c r="B11" s="1" t="s">
        <v>10</v>
      </c>
      <c r="C11" s="7">
        <v>1</v>
      </c>
      <c r="D11" s="8">
        <v>1</v>
      </c>
      <c r="E11" s="8">
        <v>0</v>
      </c>
      <c r="F11" s="8">
        <v>0</v>
      </c>
      <c r="G11" s="8">
        <v>0</v>
      </c>
      <c r="H11" s="8">
        <v>0</v>
      </c>
      <c r="I11" s="9">
        <v>0</v>
      </c>
      <c r="M11" t="s">
        <v>18</v>
      </c>
      <c r="N11" s="27">
        <v>7.25</v>
      </c>
    </row>
    <row r="12" spans="1:30" x14ac:dyDescent="0.25">
      <c r="A12" s="30"/>
      <c r="B12" s="1" t="s">
        <v>11</v>
      </c>
      <c r="C12" s="2">
        <v>0</v>
      </c>
      <c r="D12" s="3">
        <v>0</v>
      </c>
      <c r="E12" s="3">
        <v>1</v>
      </c>
      <c r="F12" s="3">
        <v>1</v>
      </c>
      <c r="G12" s="10">
        <v>1</v>
      </c>
      <c r="H12" s="10">
        <v>1</v>
      </c>
      <c r="I12" s="1">
        <v>0</v>
      </c>
    </row>
    <row r="13" spans="1:30" x14ac:dyDescent="0.25">
      <c r="A13" s="30"/>
      <c r="B13" s="1" t="s">
        <v>12</v>
      </c>
      <c r="C13" s="4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6">
        <v>1</v>
      </c>
      <c r="M13" t="s">
        <v>19</v>
      </c>
      <c r="P13" s="1"/>
      <c r="Q13" s="28">
        <f>SUM(N2:T2)/7</f>
        <v>0.28707482993197281</v>
      </c>
      <c r="R13" s="29"/>
      <c r="T13" s="1"/>
      <c r="U13" s="28">
        <f>Q13/$Q$19</f>
        <v>4.7845804988662137E-2</v>
      </c>
      <c r="V13" s="29"/>
      <c r="Y13" s="28">
        <f>N2*U$13+O2*U$14+P2*U$15+Q2*U$16+R2*U$17+S2*U$18+T2*U$19</f>
        <v>0.44952218982831221</v>
      </c>
      <c r="Z13" s="29"/>
      <c r="AC13" s="28">
        <f t="shared" ref="AC13:AC19" si="0">Y13/U13</f>
        <v>9.3952268111035853</v>
      </c>
      <c r="AD13" s="29"/>
    </row>
    <row r="14" spans="1:30" x14ac:dyDescent="0.25">
      <c r="A14" s="30" t="s">
        <v>14</v>
      </c>
      <c r="B14" s="1" t="s">
        <v>10</v>
      </c>
      <c r="C14" s="7">
        <v>1</v>
      </c>
      <c r="D14" s="8">
        <v>1</v>
      </c>
      <c r="E14" s="8">
        <v>1</v>
      </c>
      <c r="F14" s="8">
        <v>1</v>
      </c>
      <c r="G14" s="8">
        <v>0</v>
      </c>
      <c r="H14" s="8">
        <v>0</v>
      </c>
      <c r="I14" s="9">
        <v>0</v>
      </c>
      <c r="P14" s="1"/>
      <c r="Q14" s="28">
        <f>SUM(N3:T3)/7</f>
        <v>0.70175736961451241</v>
      </c>
      <c r="R14" s="29"/>
      <c r="T14" s="1"/>
      <c r="U14" s="28">
        <f>Q14/$Q$19</f>
        <v>0.11695956160241873</v>
      </c>
      <c r="V14" s="29"/>
      <c r="Y14" s="28">
        <f t="shared" ref="Y14:Y19" si="1">N3*U$13+O3*U$14+P3*U$15+Q3*U$16+R3*U$17+S3*U$18+T3*U$19</f>
        <v>0.70562925170068036</v>
      </c>
      <c r="Z14" s="29"/>
      <c r="AC14" s="28">
        <f>Y14/U14</f>
        <v>6.033104451086519</v>
      </c>
      <c r="AD14" s="29"/>
    </row>
    <row r="15" spans="1:30" x14ac:dyDescent="0.25">
      <c r="A15" s="30"/>
      <c r="B15" s="1" t="s">
        <v>11</v>
      </c>
      <c r="C15" s="2">
        <v>0</v>
      </c>
      <c r="D15" s="3">
        <v>0</v>
      </c>
      <c r="E15" s="3">
        <v>0</v>
      </c>
      <c r="F15" s="3">
        <v>1</v>
      </c>
      <c r="G15" s="10">
        <v>1</v>
      </c>
      <c r="H15" s="10">
        <v>0</v>
      </c>
      <c r="I15" s="1">
        <v>0</v>
      </c>
      <c r="P15" s="1"/>
      <c r="Q15" s="28">
        <f>SUM(N4:T4)/7</f>
        <v>1.4345238095238095</v>
      </c>
      <c r="R15" s="29"/>
      <c r="T15" s="1"/>
      <c r="U15" s="28">
        <f>Q15/$Q$19</f>
        <v>0.2390873015873016</v>
      </c>
      <c r="V15" s="29"/>
      <c r="Y15" s="28">
        <f t="shared" si="1"/>
        <v>1.4151549508692367</v>
      </c>
      <c r="Z15" s="29"/>
      <c r="AC15" s="28">
        <f>Y15/U15</f>
        <v>5.918988342224857</v>
      </c>
      <c r="AD15" s="29"/>
    </row>
    <row r="16" spans="1:30" x14ac:dyDescent="0.25">
      <c r="A16" s="30"/>
      <c r="B16" s="1" t="s">
        <v>12</v>
      </c>
      <c r="C16" s="4">
        <v>0</v>
      </c>
      <c r="D16" s="5">
        <v>0</v>
      </c>
      <c r="E16" s="5">
        <v>0</v>
      </c>
      <c r="F16" s="5">
        <v>0</v>
      </c>
      <c r="G16" s="5">
        <v>1</v>
      </c>
      <c r="H16" s="5">
        <v>1</v>
      </c>
      <c r="I16" s="6">
        <v>1</v>
      </c>
      <c r="P16" s="1" t="s">
        <v>21</v>
      </c>
      <c r="Q16" s="28">
        <f t="shared" ref="Q15:Q19" si="2">SUM(N5:T5)/7</f>
        <v>2.2394557823129251</v>
      </c>
      <c r="R16" s="29"/>
      <c r="T16" s="1" t="s">
        <v>20</v>
      </c>
      <c r="U16" s="28">
        <f t="shared" ref="U15:U19" si="3">Q16/$Q$19</f>
        <v>0.37324263038548749</v>
      </c>
      <c r="V16" s="29"/>
      <c r="X16" t="s">
        <v>22</v>
      </c>
      <c r="Y16" s="28">
        <f t="shared" si="1"/>
        <v>2.2626700680272105</v>
      </c>
      <c r="Z16" s="29"/>
      <c r="AB16" t="s">
        <v>23</v>
      </c>
      <c r="AC16" s="28">
        <f t="shared" si="0"/>
        <v>6.0621962332928305</v>
      </c>
      <c r="AD16" s="29"/>
    </row>
    <row r="17" spans="1:30" x14ac:dyDescent="0.25">
      <c r="P17" s="1"/>
      <c r="Q17" s="28">
        <f t="shared" si="2"/>
        <v>3.5047619047619043</v>
      </c>
      <c r="R17" s="29"/>
      <c r="T17" s="1"/>
      <c r="U17" s="28">
        <f t="shared" si="3"/>
        <v>0.58412698412698405</v>
      </c>
      <c r="V17" s="29"/>
      <c r="Y17" s="28">
        <f t="shared" si="1"/>
        <v>4.3661470143612995</v>
      </c>
      <c r="Z17" s="29"/>
      <c r="AC17" s="28">
        <f t="shared" si="0"/>
        <v>7.4746538561076603</v>
      </c>
      <c r="AD17" s="29"/>
    </row>
    <row r="18" spans="1:30" x14ac:dyDescent="0.25">
      <c r="B18" s="11" t="s">
        <v>1</v>
      </c>
      <c r="C18" s="12" t="s">
        <v>2</v>
      </c>
      <c r="D18" s="13" t="s">
        <v>8</v>
      </c>
      <c r="E18" s="13" t="s">
        <v>3</v>
      </c>
      <c r="F18" s="13" t="s">
        <v>4</v>
      </c>
      <c r="G18" s="13" t="s">
        <v>5</v>
      </c>
      <c r="H18" s="13" t="s">
        <v>6</v>
      </c>
      <c r="I18" s="14" t="s">
        <v>7</v>
      </c>
      <c r="P18" s="1"/>
      <c r="Q18" s="28">
        <f t="shared" si="2"/>
        <v>4.6190476190476195</v>
      </c>
      <c r="R18" s="29"/>
      <c r="T18" s="1"/>
      <c r="U18" s="28">
        <f t="shared" si="3"/>
        <v>0.76984126984126988</v>
      </c>
      <c r="V18" s="29"/>
      <c r="Y18" s="28">
        <f t="shared" si="1"/>
        <v>7.5225812547241118</v>
      </c>
      <c r="Z18" s="29"/>
      <c r="AC18" s="28">
        <f t="shared" si="0"/>
        <v>9.7716003927344133</v>
      </c>
      <c r="AD18" s="29"/>
    </row>
    <row r="19" spans="1:30" x14ac:dyDescent="0.25">
      <c r="B19" s="31" t="s">
        <v>10</v>
      </c>
      <c r="C19" s="7">
        <f>SUMIF(B2:B16,"низкий",C2:C16)</f>
        <v>5</v>
      </c>
      <c r="D19" s="7">
        <f>SUMIF($B2:$B16,"низкий",D2:D16)</f>
        <v>5</v>
      </c>
      <c r="E19" s="7">
        <f t="shared" ref="E19:I19" si="4">SUMIF($B2:$B16,"низкий",E2:E16)</f>
        <v>3</v>
      </c>
      <c r="F19" s="7">
        <f t="shared" si="4"/>
        <v>1</v>
      </c>
      <c r="G19" s="7">
        <f t="shared" si="4"/>
        <v>0</v>
      </c>
      <c r="H19" s="7">
        <f t="shared" si="4"/>
        <v>0</v>
      </c>
      <c r="I19" s="7">
        <f t="shared" si="4"/>
        <v>0</v>
      </c>
      <c r="P19" s="1"/>
      <c r="Q19" s="28">
        <f t="shared" si="2"/>
        <v>6</v>
      </c>
      <c r="R19" s="29"/>
      <c r="T19" s="1"/>
      <c r="U19" s="28">
        <f t="shared" si="3"/>
        <v>1</v>
      </c>
      <c r="V19" s="29"/>
      <c r="Y19" s="28">
        <f t="shared" si="1"/>
        <v>12.238803854875282</v>
      </c>
      <c r="Z19" s="29"/>
      <c r="AC19" s="28">
        <f t="shared" si="0"/>
        <v>12.238803854875282</v>
      </c>
      <c r="AD19" s="29"/>
    </row>
    <row r="20" spans="1:30" x14ac:dyDescent="0.25">
      <c r="A20" t="s">
        <v>13</v>
      </c>
      <c r="B20" s="31"/>
      <c r="C20" s="4">
        <f>C19/5</f>
        <v>1</v>
      </c>
      <c r="D20" s="4">
        <f t="shared" ref="D20:I20" si="5">D19/5</f>
        <v>1</v>
      </c>
      <c r="E20" s="4">
        <f t="shared" si="5"/>
        <v>0.6</v>
      </c>
      <c r="F20" s="4">
        <f t="shared" si="5"/>
        <v>0.2</v>
      </c>
      <c r="G20" s="4">
        <f t="shared" si="5"/>
        <v>0</v>
      </c>
      <c r="H20" s="4">
        <f t="shared" si="5"/>
        <v>0</v>
      </c>
      <c r="I20" s="4">
        <f t="shared" si="5"/>
        <v>0</v>
      </c>
    </row>
    <row r="21" spans="1:30" x14ac:dyDescent="0.25">
      <c r="B21" s="31" t="s">
        <v>11</v>
      </c>
      <c r="C21" s="7">
        <f>SUMIF($B2:$B16,"средний",C2:C16)</f>
        <v>0</v>
      </c>
      <c r="D21" s="7">
        <f t="shared" ref="D21:I21" si="6">SUMIF($B2:$B16,"средний",D2:D16)</f>
        <v>1</v>
      </c>
      <c r="E21" s="7">
        <f t="shared" si="6"/>
        <v>3</v>
      </c>
      <c r="F21" s="7">
        <f t="shared" si="6"/>
        <v>5</v>
      </c>
      <c r="G21" s="7">
        <f t="shared" si="6"/>
        <v>3</v>
      </c>
      <c r="H21" s="7">
        <f t="shared" si="6"/>
        <v>1</v>
      </c>
      <c r="I21" s="7">
        <f t="shared" si="6"/>
        <v>0</v>
      </c>
    </row>
    <row r="22" spans="1:30" x14ac:dyDescent="0.25">
      <c r="B22" s="31"/>
      <c r="C22" s="4">
        <f>C21/5</f>
        <v>0</v>
      </c>
      <c r="D22" s="4">
        <f t="shared" ref="D22" si="7">D21/5</f>
        <v>0.2</v>
      </c>
      <c r="E22" s="4">
        <f t="shared" ref="E22" si="8">E21/5</f>
        <v>0.6</v>
      </c>
      <c r="F22" s="4">
        <f t="shared" ref="F22" si="9">F21/5</f>
        <v>1</v>
      </c>
      <c r="G22" s="4">
        <f t="shared" ref="G22" si="10">G21/5</f>
        <v>0.6</v>
      </c>
      <c r="H22" s="4">
        <f t="shared" ref="H22" si="11">H21/5</f>
        <v>0.2</v>
      </c>
      <c r="I22" s="4">
        <f t="shared" ref="I22" si="12">I21/5</f>
        <v>0</v>
      </c>
    </row>
    <row r="23" spans="1:30" x14ac:dyDescent="0.25">
      <c r="B23" s="31" t="s">
        <v>12</v>
      </c>
      <c r="C23" s="7">
        <f t="shared" ref="C23:I23" si="13">SUMIF($B2:$B16,"высокий",C2:C16)</f>
        <v>0</v>
      </c>
      <c r="D23" s="7">
        <f>SUMIF($B2:$B16,"высокий",D2:D16)</f>
        <v>0</v>
      </c>
      <c r="E23" s="7">
        <f t="shared" si="13"/>
        <v>0</v>
      </c>
      <c r="F23" s="7">
        <f t="shared" si="13"/>
        <v>0</v>
      </c>
      <c r="G23" s="7">
        <f t="shared" si="13"/>
        <v>4</v>
      </c>
      <c r="H23" s="7">
        <f t="shared" si="13"/>
        <v>4</v>
      </c>
      <c r="I23" s="7">
        <f t="shared" si="13"/>
        <v>5</v>
      </c>
      <c r="Q23">
        <v>40</v>
      </c>
      <c r="R23" s="28">
        <v>4.7845804988662137E-2</v>
      </c>
      <c r="S23" s="29"/>
    </row>
    <row r="24" spans="1:30" x14ac:dyDescent="0.25">
      <c r="B24" s="32"/>
      <c r="C24" s="4">
        <f>C23/5</f>
        <v>0</v>
      </c>
      <c r="D24" s="4">
        <f t="shared" ref="D24" si="14">D23/5</f>
        <v>0</v>
      </c>
      <c r="E24" s="4">
        <f t="shared" ref="E24" si="15">E23/5</f>
        <v>0</v>
      </c>
      <c r="F24" s="4">
        <f t="shared" ref="F24" si="16">F23/5</f>
        <v>0</v>
      </c>
      <c r="G24" s="4">
        <f t="shared" ref="G24" si="17">G23/5</f>
        <v>0.8</v>
      </c>
      <c r="H24" s="4">
        <f t="shared" ref="H24" si="18">H23/5</f>
        <v>0.8</v>
      </c>
      <c r="I24" s="4">
        <f t="shared" ref="I24" si="19">I23/5</f>
        <v>1</v>
      </c>
      <c r="Q24">
        <v>50</v>
      </c>
      <c r="R24" s="28">
        <v>0.11695956160241873</v>
      </c>
      <c r="S24" s="29"/>
    </row>
    <row r="25" spans="1:30" x14ac:dyDescent="0.25">
      <c r="Q25">
        <v>60</v>
      </c>
      <c r="R25" s="28">
        <v>0.2390873015873016</v>
      </c>
      <c r="S25" s="29"/>
    </row>
    <row r="26" spans="1:30" x14ac:dyDescent="0.25">
      <c r="Q26">
        <v>70</v>
      </c>
      <c r="R26" s="28">
        <v>0.37324263038548749</v>
      </c>
      <c r="S26" s="29"/>
    </row>
    <row r="27" spans="1:30" x14ac:dyDescent="0.25">
      <c r="Q27">
        <v>80</v>
      </c>
      <c r="R27" s="28">
        <v>0.58412698412698405</v>
      </c>
      <c r="S27" s="29"/>
    </row>
    <row r="28" spans="1:30" x14ac:dyDescent="0.25">
      <c r="Q28">
        <v>90</v>
      </c>
      <c r="R28" s="28">
        <v>0.76984126984126988</v>
      </c>
      <c r="S28" s="29"/>
    </row>
    <row r="29" spans="1:30" x14ac:dyDescent="0.25">
      <c r="Q29">
        <v>110</v>
      </c>
      <c r="R29" s="28">
        <v>1</v>
      </c>
      <c r="S29" s="29"/>
      <c r="U29" t="s">
        <v>24</v>
      </c>
    </row>
  </sheetData>
  <mergeCells count="43">
    <mergeCell ref="R28:S28"/>
    <mergeCell ref="R29:S29"/>
    <mergeCell ref="R23:S23"/>
    <mergeCell ref="R24:S24"/>
    <mergeCell ref="R25:S25"/>
    <mergeCell ref="R26:S26"/>
    <mergeCell ref="R27:S27"/>
    <mergeCell ref="A2:A4"/>
    <mergeCell ref="A5:A7"/>
    <mergeCell ref="A8:A10"/>
    <mergeCell ref="B21:B22"/>
    <mergeCell ref="B23:B24"/>
    <mergeCell ref="A11:A13"/>
    <mergeCell ref="A14:A16"/>
    <mergeCell ref="B19:B20"/>
    <mergeCell ref="U18:V18"/>
    <mergeCell ref="U19:V19"/>
    <mergeCell ref="Q13:R13"/>
    <mergeCell ref="Q14:R14"/>
    <mergeCell ref="Q15:R15"/>
    <mergeCell ref="Q16:R16"/>
    <mergeCell ref="Q17:R17"/>
    <mergeCell ref="Q18:R18"/>
    <mergeCell ref="Q19:R19"/>
    <mergeCell ref="U13:V13"/>
    <mergeCell ref="U14:V14"/>
    <mergeCell ref="U15:V15"/>
    <mergeCell ref="U16:V16"/>
    <mergeCell ref="U17:V17"/>
    <mergeCell ref="Y18:Z18"/>
    <mergeCell ref="Y19:Z19"/>
    <mergeCell ref="AC13:AD13"/>
    <mergeCell ref="AC14:AD14"/>
    <mergeCell ref="AC15:AD15"/>
    <mergeCell ref="AC16:AD16"/>
    <mergeCell ref="AC17:AD17"/>
    <mergeCell ref="AC18:AD18"/>
    <mergeCell ref="AC19:AD19"/>
    <mergeCell ref="Y13:Z13"/>
    <mergeCell ref="Y14:Z14"/>
    <mergeCell ref="Y15:Z15"/>
    <mergeCell ref="Y16:Z16"/>
    <mergeCell ref="Y17:Z1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Юхнов Евгений Алексеевич</dc:creator>
  <cp:lastModifiedBy>Юхнов Евгений Алексеевич</cp:lastModifiedBy>
  <dcterms:created xsi:type="dcterms:W3CDTF">2025-09-08T12:07:44Z</dcterms:created>
  <dcterms:modified xsi:type="dcterms:W3CDTF">2025-11-10T12:22:06Z</dcterms:modified>
</cp:coreProperties>
</file>